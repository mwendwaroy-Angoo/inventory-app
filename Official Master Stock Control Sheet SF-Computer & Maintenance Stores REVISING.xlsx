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3.xml" ContentType="application/vnd.openxmlformats-officedocument.spreadsheetml.pivotCacheRecords+xml"/>
  <Override PartName="/xl/pivotCache/pivotCacheDefinition4.xml" ContentType="application/vnd.openxmlformats-officedocument.spreadsheetml.pivotCacheDefinition+xml"/>
  <Override PartName="/xl/pivotCache/pivotCacheRecords4.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slicerCaches/slicerCache16.xml" ContentType="application/vnd.ms-excel.slicerCache+xml"/>
  <Override PartName="/xl/slicerCaches/slicerCache17.xml" ContentType="application/vnd.ms-excel.slicerCache+xml"/>
  <Override PartName="/xl/slicerCaches/slicerCache18.xml" ContentType="application/vnd.ms-excel.slicerCache+xml"/>
  <Override PartName="/xl/slicerCaches/slicerCache19.xml" ContentType="application/vnd.ms-excel.slicerCache+xml"/>
  <Override PartName="/xl/timelineCaches/timelineCache1.xml" ContentType="application/vnd.ms-excel.timelineCache+xml"/>
  <Override PartName="/xl/timelineCaches/timelineCache2.xml" ContentType="application/vnd.ms-excel.timelineCache+xml"/>
  <Override PartName="/xl/timelineCaches/timelineCache3.xml" ContentType="application/vnd.ms-excel.timelineCache+xml"/>
  <Override PartName="/xl/timelineCaches/timelineCache4.xml" ContentType="application/vnd.ms-excel.timeline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tables/table2.xml" ContentType="application/vnd.openxmlformats-officedocument.spreadsheetml.table+xml"/>
  <Override PartName="/xl/tables/table3.xml" ContentType="application/vnd.openxmlformats-officedocument.spreadsheetml.table+xml"/>
  <Override PartName="/xl/pivotTables/pivotTable1.xml" ContentType="application/vnd.openxmlformats-officedocument.spreadsheetml.pivotTable+xml"/>
  <Override PartName="/xl/drawings/drawing1.xml" ContentType="application/vnd.openxmlformats-officedocument.drawing+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8.xml" ContentType="application/vnd.openxmlformats-officedocument.spreadsheetml.table+xml"/>
  <Override PartName="/xl/pivotTables/pivotTable2.xml" ContentType="application/vnd.openxmlformats-officedocument.spreadsheetml.pivotTable+xml"/>
  <Override PartName="/xl/tables/table9.xml" ContentType="application/vnd.openxmlformats-officedocument.spreadsheetml.table+xml"/>
  <Override PartName="/xl/pivotTables/pivotTable3.xml" ContentType="application/vnd.openxmlformats-officedocument.spreadsheetml.pivotTable+xml"/>
  <Override PartName="/xl/tables/table10.xml" ContentType="application/vnd.openxmlformats-officedocument.spreadsheetml.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6.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timelines/timeline2.xml" ContentType="application/vnd.ms-excel.timelin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7.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timelines/timeline3.xml" ContentType="application/vnd.ms-excel.timelin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8.xml" ContentType="application/vnd.openxmlformats-officedocument.spreadsheetml.pivotTable+xml"/>
  <Override PartName="/xl/drawings/drawing5.xml" ContentType="application/vnd.openxmlformats-officedocument.drawing+xml"/>
  <Override PartName="/xl/slicers/slicer5.xml" ContentType="application/vnd.ms-excel.slicer+xml"/>
  <Override PartName="/xl/timelines/timeline4.xml" ContentType="application/vnd.ms-excel.timeline+xml"/>
  <Override PartName="/xl/drawings/drawing6.xml" ContentType="application/vnd.openxmlformats-officedocument.drawing+xml"/>
  <Override PartName="/xl/tables/table11.xml" ContentType="application/vnd.openxmlformats-officedocument.spreadsheetml.tab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codeName="ThisWorkbook" hidePivotFieldList="1"/>
  <mc:AlternateContent xmlns:mc="http://schemas.openxmlformats.org/markup-compatibility/2006">
    <mc:Choice Requires="x15">
      <x15ac:absPath xmlns:x15ac="http://schemas.microsoft.com/office/spreadsheetml/2010/11/ac" url="C:\Users\Roy\OneDrive\Desktop\ROY STOCK CONTROL SHEETS\"/>
    </mc:Choice>
  </mc:AlternateContent>
  <bookViews>
    <workbookView xWindow="0" yWindow="0" windowWidth="11980" windowHeight="5670" tabRatio="597" activeTab="2"/>
  </bookViews>
  <sheets>
    <sheet name="STOCK CONTROL SHEET" sheetId="1" r:id="rId1"/>
    <sheet name="INVENTORY STATUS" sheetId="4" r:id="rId2"/>
    <sheet name="STORE PERFORMANCE" sheetId="9" r:id="rId3"/>
    <sheet name="SF STORE" sheetId="2" r:id="rId4"/>
    <sheet name="SF REPORT" sheetId="13" r:id="rId5"/>
    <sheet name="COMPUTER STORE" sheetId="12" r:id="rId6"/>
    <sheet name="COMPUTER REPORT" sheetId="16" r:id="rId7"/>
    <sheet name="MAINTENANCE" sheetId="11" r:id="rId8"/>
    <sheet name="MAINTENANCE REPORT" sheetId="14" r:id="rId9"/>
    <sheet name="AVERAGE CONSUMPTION" sheetId="6" r:id="rId10"/>
    <sheet name="MAX CONSUMPTION" sheetId="7" r:id="rId11"/>
    <sheet name="MIN CONSUMPTION" sheetId="8" r:id="rId12"/>
    <sheet name="INVENTORY ANALYSIS" sheetId="5" r:id="rId13"/>
    <sheet name="DASHBOARD" sheetId="3" r:id="rId14"/>
  </sheets>
  <definedNames>
    <definedName name="Bin_Card_Bal." localSheetId="0">'STOCK CONTROL SHEET'!$F$3:$F$172</definedName>
    <definedName name="COMP.STOREPhysicalBal.">'STOCK CONTROL SHEET'!$I$39:$I$124</definedName>
    <definedName name="COMP.STOREPRIMARY">'STOCK CONTROL SHEET'!$B$39:$N$124</definedName>
    <definedName name="COMP.STOREReorderLevels">'STOCK CONTROL SHEET'!$M$39:$M$124</definedName>
    <definedName name="COMPMaterialNo">'STOCK CONTROL SHEET'!$B$39:$B$124</definedName>
    <definedName name="Details" localSheetId="0">'STOCK CONTROL SHEET'!$B$4:$D$172</definedName>
    <definedName name="Details">'STOCK CONTROL SHEET'!$B$4:$D$172,'STOCK CONTROL SHEET'!$I$4:$I$172</definedName>
    <definedName name="INOUTCODE" localSheetId="5">'COMPUTER STORE'!$D$3:$D$11</definedName>
    <definedName name="INOUTCODE" localSheetId="7">MAINTENANCE!$D$3:$D$11</definedName>
    <definedName name="INOUTCODE">'SF STORE'!$D$3:$D$123</definedName>
    <definedName name="INOUTQTY" localSheetId="5">'COMPUTER STORE'!$G$3:$G$11</definedName>
    <definedName name="INOUTQTY" localSheetId="7">MAINTENANCE!$G$3:$G$11</definedName>
    <definedName name="INOUTQTY">'SF STORE'!$G$3:$G$123</definedName>
    <definedName name="ItemDescription" localSheetId="0">'STOCK CONTROL SHEET'!$C$4:$C$172</definedName>
    <definedName name="MAINT.STOREPhysicalStockBal.">'STOCK CONTROL SHEET'!$I$125:$I$172</definedName>
    <definedName name="MAINT.STOREPRIMARY">'STOCK CONTROL SHEET'!$B$125:$N$172</definedName>
    <definedName name="MAINT.STOREReorderLevels">'STOCK CONTROL SHEET'!$M$125:$M$172</definedName>
    <definedName name="MAINTMaterialNo">'STOCK CONTROL SHEET'!$B$125:$B$172</definedName>
    <definedName name="NativeTimeline_Date">#N/A</definedName>
    <definedName name="NativeTimeline_Date1">#N/A</definedName>
    <definedName name="NativeTimeline_Date2">#N/A</definedName>
    <definedName name="NativeTimeline_Date3">#N/A</definedName>
    <definedName name="Opening_S5_Bin_Card_Bal.">'STOCK CONTROL SHEET'!$E$4:$E$172</definedName>
    <definedName name="Physical_Stock_Bal." localSheetId="0">SF.STOREPRIMARY[Physical Stock Bal.]</definedName>
    <definedName name="Qty._Deficit" localSheetId="0">SF.STOREPRIMARY[Qty. Deficit]</definedName>
    <definedName name="Qty._Surplus" localSheetId="0">'STOCK CONTROL SHEET'!$K:$K</definedName>
    <definedName name="Reorder_Levels" localSheetId="0">'STOCK CONTROL SHEET'!$M:$M</definedName>
    <definedName name="ROLL" localSheetId="0">SF.STOREPRIMARY[Unit of Issue]</definedName>
    <definedName name="Running_Balance" localSheetId="5">'COMPUTER STORE'!$J:$J</definedName>
    <definedName name="Running_Balance" localSheetId="7">MAINTENANCE!$J:$J</definedName>
    <definedName name="Running_Balance" localSheetId="3">'SF STORE'!$J:$J</definedName>
    <definedName name="SF.STORE.TABLE">SF.STOREPRIMARY[]</definedName>
    <definedName name="SFMaterialNo">SF.STOREPRIMARY[Material No]</definedName>
    <definedName name="Slicer_Department">#N/A</definedName>
    <definedName name="Slicer_Department1">#N/A</definedName>
    <definedName name="Slicer_Department2">#N/A</definedName>
    <definedName name="Slicer_Department3">#N/A</definedName>
    <definedName name="Slicer_In_Out_Qty">#N/A</definedName>
    <definedName name="Slicer_In_Out_Qty1">#N/A</definedName>
    <definedName name="Slicer_In_Out_Qty2">#N/A</definedName>
    <definedName name="Slicer_In_Out_Qty3">#N/A</definedName>
    <definedName name="Slicer_Item_Description">#N/A</definedName>
    <definedName name="Slicer_Item_Description1">#N/A</definedName>
    <definedName name="Slicer_Item_Description2">#N/A</definedName>
    <definedName name="Slicer_Item_Description3">#N/A</definedName>
    <definedName name="Slicer_Store">#N/A</definedName>
    <definedName name="Slicer_Type">#N/A</definedName>
    <definedName name="Slicer_Type1">#N/A</definedName>
    <definedName name="Slicer_Type2">#N/A</definedName>
    <definedName name="Slicer_Type3">#N/A</definedName>
    <definedName name="Slicer_Value_of_Deficiency">#N/A</definedName>
    <definedName name="Slicer_Value_of_Surplus">#N/A</definedName>
    <definedName name="TransactionType" localSheetId="5">'COMPUTER STORE'!$M$4:$M$6</definedName>
    <definedName name="TransactionType" localSheetId="7">MAINTENANCE!$M$4:$M$6</definedName>
    <definedName name="TransactionType" localSheetId="3">'SF STORE'!$M$4:$M$6</definedName>
    <definedName name="Type" localSheetId="9">UnitsTable[Type]</definedName>
    <definedName name="Type" localSheetId="5">ComputerStoreUnitsTable[Type]</definedName>
    <definedName name="Type" localSheetId="7">MAINTENANCEUnitsTable[Type]</definedName>
    <definedName name="Type" localSheetId="10">UnitsTable[Type]</definedName>
    <definedName name="Type" localSheetId="11">UnitsTable[Type]</definedName>
    <definedName name="Type">UnitsTable[Type]</definedName>
    <definedName name="Unit" localSheetId="5">'COMPUTER STORE'!$N$4:$N$11</definedName>
    <definedName name="Unit" localSheetId="7">MAINTENANCE!$N$4:$N$11</definedName>
    <definedName name="Unit">'SF STORE'!$N$4:$N$11</definedName>
    <definedName name="UnitOfIssue" localSheetId="5">ComputerStoreUnitsTable[Unit of Issue]</definedName>
    <definedName name="UnitOfIssue" localSheetId="7">MAINTENANCEUnitsTable[Unit of Issue]</definedName>
    <definedName name="UnitOfIssue" localSheetId="3">UnitsTable[Unit of Issue]</definedName>
  </definedNames>
  <calcPr calcId="162913"/>
  <pivotCaches>
    <pivotCache cacheId="0" r:id="rId15"/>
    <pivotCache cacheId="1" r:id="rId16"/>
    <pivotCache cacheId="2" r:id="rId17"/>
    <pivotCache cacheId="3" r:id="rId18"/>
  </pivotCaches>
  <extLst>
    <ext xmlns:x14="http://schemas.microsoft.com/office/spreadsheetml/2009/9/main" uri="{BBE1A952-AA13-448e-AADC-164F8A28A991}">
      <x14:slicerCaches>
        <x14:slicerCache r:id="rId19"/>
        <x14:slicerCache r:id="rId20"/>
        <x14:slicerCache r:id="rId21"/>
        <x14:slicerCache r:id="rId22"/>
        <x14:slicerCache r:id="rId23"/>
        <x14:slicerCache r:id="rId24"/>
        <x14:slicerCache r:id="rId25"/>
        <x14:slicerCache r:id="rId26"/>
        <x14:slicerCache r:id="rId27"/>
        <x14:slicerCache r:id="rId28"/>
        <x14:slicerCache r:id="rId29"/>
        <x14:slicerCache r:id="rId30"/>
        <x14:slicerCache r:id="rId31"/>
        <x14:slicerCache r:id="rId32"/>
        <x14:slicerCache r:id="rId33"/>
        <x14:slicerCache r:id="rId34"/>
        <x14:slicerCache r:id="rId35"/>
        <x14:slicerCache r:id="rId36"/>
        <x14:slicerCache r:id="rId37"/>
      </x14:slicerCaches>
    </ext>
    <ext xmlns:x14="http://schemas.microsoft.com/office/spreadsheetml/2009/9/main" uri="{79F54976-1DA5-4618-B147-4CDE4B953A38}">
      <x14:workbookPr/>
    </ext>
    <ext xmlns:x15="http://schemas.microsoft.com/office/spreadsheetml/2010/11/main" uri="{D0CA8CA8-9F24-4464-BF8E-62219DCF47F9}">
      <x15:timelineCacheRefs>
        <x15:timelineCacheRef r:id="rId38"/>
        <x15:timelineCacheRef r:id="rId39"/>
        <x15:timelineCacheRef r:id="rId40"/>
        <x15:timelineCacheRef r:id="rId41"/>
      </x15:timelineCacheRefs>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C38" i="9" l="1"/>
  <c r="A38" i="9"/>
  <c r="E38" i="9" s="1"/>
  <c r="A37" i="9"/>
  <c r="E37" i="9" s="1"/>
  <c r="A5" i="9"/>
  <c r="A6" i="9"/>
  <c r="A7" i="9"/>
  <c r="A8" i="9"/>
  <c r="A9" i="9"/>
  <c r="A10" i="9"/>
  <c r="A11" i="9"/>
  <c r="A12" i="9"/>
  <c r="A13" i="9"/>
  <c r="A14" i="9"/>
  <c r="A15" i="9"/>
  <c r="A16" i="9"/>
  <c r="A17" i="9"/>
  <c r="A18" i="9"/>
  <c r="A19" i="9"/>
  <c r="A20" i="9"/>
  <c r="A21" i="9"/>
  <c r="A22" i="9"/>
  <c r="A23" i="9"/>
  <c r="A24" i="9"/>
  <c r="A25" i="9"/>
  <c r="A26" i="9"/>
  <c r="A27" i="9"/>
  <c r="A28" i="9"/>
  <c r="A29" i="9"/>
  <c r="A30" i="9"/>
  <c r="A31" i="9"/>
  <c r="A32" i="9"/>
  <c r="A33" i="9"/>
  <c r="A34" i="9"/>
  <c r="A35" i="9"/>
  <c r="A36" i="9"/>
  <c r="A4" i="9"/>
  <c r="B37" i="9" l="1"/>
  <c r="C37" i="9"/>
  <c r="B38" i="9"/>
  <c r="D38" i="9"/>
  <c r="D37" i="9"/>
  <c r="D5" i="9"/>
  <c r="D6" i="9"/>
  <c r="D7" i="9"/>
  <c r="D8" i="9"/>
  <c r="D9" i="9"/>
  <c r="D10" i="9"/>
  <c r="D11" i="9"/>
  <c r="D12" i="9"/>
  <c r="D13" i="9"/>
  <c r="D14" i="9"/>
  <c r="D15" i="9"/>
  <c r="D16" i="9"/>
  <c r="D17" i="9"/>
  <c r="D18" i="9"/>
  <c r="D19" i="9"/>
  <c r="D21" i="9"/>
  <c r="D22" i="9"/>
  <c r="D23" i="9"/>
  <c r="D24" i="9"/>
  <c r="D25" i="9"/>
  <c r="D26" i="9"/>
  <c r="D27" i="9"/>
  <c r="D28" i="9"/>
  <c r="D29" i="9"/>
  <c r="D30" i="9"/>
  <c r="D31" i="9"/>
  <c r="D32" i="9"/>
  <c r="D33" i="9"/>
  <c r="D34" i="9"/>
  <c r="D35" i="9"/>
  <c r="D36" i="9"/>
  <c r="D4" i="9"/>
  <c r="E106" i="9"/>
  <c r="E107" i="9"/>
  <c r="E108" i="9"/>
  <c r="E109" i="9"/>
  <c r="E110" i="9"/>
  <c r="E111" i="9"/>
  <c r="E112" i="9"/>
  <c r="E113" i="9"/>
  <c r="E114" i="9"/>
  <c r="E115" i="9"/>
  <c r="E116" i="9"/>
  <c r="E117" i="9"/>
  <c r="E118" i="9"/>
  <c r="E119" i="9"/>
  <c r="E120" i="9"/>
  <c r="E121" i="9"/>
  <c r="E122" i="9"/>
  <c r="E123" i="9"/>
  <c r="E124" i="9"/>
  <c r="E125" i="9"/>
  <c r="E126" i="9"/>
  <c r="E127" i="9"/>
  <c r="E128" i="9"/>
  <c r="E129" i="9"/>
  <c r="E130" i="9"/>
  <c r="E131" i="9"/>
  <c r="E132" i="9"/>
  <c r="E133" i="9"/>
  <c r="E134" i="9"/>
  <c r="E135" i="9"/>
  <c r="E136" i="9"/>
  <c r="E137" i="9"/>
  <c r="E138" i="9"/>
  <c r="E139" i="9"/>
  <c r="E140" i="9"/>
  <c r="E141" i="9"/>
  <c r="E142" i="9"/>
  <c r="E143" i="9"/>
  <c r="E144" i="9"/>
  <c r="E145" i="9"/>
  <c r="E146" i="9"/>
  <c r="E147" i="9"/>
  <c r="E148" i="9"/>
  <c r="E149" i="9"/>
  <c r="E150" i="9"/>
  <c r="E151" i="9"/>
  <c r="D106" i="9"/>
  <c r="D107" i="9"/>
  <c r="D108" i="9"/>
  <c r="D109" i="9"/>
  <c r="D110" i="9"/>
  <c r="D111" i="9"/>
  <c r="D112" i="9"/>
  <c r="D113" i="9"/>
  <c r="D114" i="9"/>
  <c r="D115" i="9"/>
  <c r="D116" i="9"/>
  <c r="D117" i="9"/>
  <c r="D118" i="9"/>
  <c r="D119" i="9"/>
  <c r="D120" i="9"/>
  <c r="D121" i="9"/>
  <c r="D122" i="9"/>
  <c r="D123" i="9"/>
  <c r="D124" i="9"/>
  <c r="D125" i="9"/>
  <c r="D126" i="9"/>
  <c r="D127" i="9"/>
  <c r="D128" i="9"/>
  <c r="D129" i="9"/>
  <c r="D130" i="9"/>
  <c r="D131" i="9"/>
  <c r="D132" i="9"/>
  <c r="D133" i="9"/>
  <c r="D134" i="9"/>
  <c r="D135" i="9"/>
  <c r="D136" i="9"/>
  <c r="D137" i="9"/>
  <c r="D138" i="9"/>
  <c r="D139" i="9"/>
  <c r="D140" i="9"/>
  <c r="D141" i="9"/>
  <c r="D142" i="9"/>
  <c r="D143" i="9"/>
  <c r="D144" i="9"/>
  <c r="D145" i="9"/>
  <c r="D146" i="9"/>
  <c r="D147" i="9"/>
  <c r="D148" i="9"/>
  <c r="D149" i="9"/>
  <c r="D150" i="9"/>
  <c r="D151" i="9"/>
  <c r="E41" i="9"/>
  <c r="E42" i="9"/>
  <c r="E43" i="9"/>
  <c r="E44" i="9"/>
  <c r="E45" i="9"/>
  <c r="E46" i="9"/>
  <c r="E47" i="9"/>
  <c r="E48" i="9"/>
  <c r="E49" i="9"/>
  <c r="E50" i="9"/>
  <c r="E51" i="9"/>
  <c r="E52" i="9"/>
  <c r="E53" i="9"/>
  <c r="E54" i="9"/>
  <c r="E55" i="9"/>
  <c r="E56" i="9"/>
  <c r="E57" i="9"/>
  <c r="E58" i="9"/>
  <c r="E59" i="9"/>
  <c r="E60" i="9"/>
  <c r="E61" i="9"/>
  <c r="E62" i="9"/>
  <c r="E63" i="9"/>
  <c r="E64" i="9"/>
  <c r="E65" i="9"/>
  <c r="E66" i="9"/>
  <c r="E67" i="9"/>
  <c r="E68" i="9"/>
  <c r="E69" i="9"/>
  <c r="E70" i="9"/>
  <c r="E71" i="9"/>
  <c r="E72" i="9"/>
  <c r="E73" i="9"/>
  <c r="E74" i="9"/>
  <c r="E75" i="9"/>
  <c r="E76" i="9"/>
  <c r="E77" i="9"/>
  <c r="E78" i="9"/>
  <c r="E79" i="9"/>
  <c r="E80" i="9"/>
  <c r="E81" i="9"/>
  <c r="E82" i="9"/>
  <c r="E83" i="9"/>
  <c r="E84" i="9"/>
  <c r="E85" i="9"/>
  <c r="E86" i="9"/>
  <c r="E87" i="9"/>
  <c r="E88" i="9"/>
  <c r="E89" i="9"/>
  <c r="E90" i="9"/>
  <c r="E91" i="9"/>
  <c r="E92" i="9"/>
  <c r="E93" i="9"/>
  <c r="E94" i="9"/>
  <c r="E95" i="9"/>
  <c r="E96" i="9"/>
  <c r="E97" i="9"/>
  <c r="E98" i="9"/>
  <c r="E99" i="9"/>
  <c r="E100" i="9"/>
  <c r="E101" i="9"/>
  <c r="E102" i="9"/>
  <c r="E103" i="9"/>
  <c r="D41" i="9"/>
  <c r="D42" i="9"/>
  <c r="D43" i="9"/>
  <c r="D44" i="9"/>
  <c r="D45" i="9"/>
  <c r="D46" i="9"/>
  <c r="D47" i="9"/>
  <c r="D48" i="9"/>
  <c r="D49" i="9"/>
  <c r="D50" i="9"/>
  <c r="D51" i="9"/>
  <c r="D52" i="9"/>
  <c r="D53" i="9"/>
  <c r="D54" i="9"/>
  <c r="D55" i="9"/>
  <c r="D56" i="9"/>
  <c r="D57" i="9"/>
  <c r="D58" i="9"/>
  <c r="D59" i="9"/>
  <c r="D60" i="9"/>
  <c r="D61" i="9"/>
  <c r="D62" i="9"/>
  <c r="D63" i="9"/>
  <c r="D64" i="9"/>
  <c r="D65" i="9"/>
  <c r="D66" i="9"/>
  <c r="D67" i="9"/>
  <c r="D68" i="9"/>
  <c r="D69" i="9"/>
  <c r="D70" i="9"/>
  <c r="D71" i="9"/>
  <c r="D72" i="9"/>
  <c r="D73" i="9"/>
  <c r="D74" i="9"/>
  <c r="D75" i="9"/>
  <c r="D76" i="9"/>
  <c r="D77" i="9"/>
  <c r="D78" i="9"/>
  <c r="D79" i="9"/>
  <c r="D80" i="9"/>
  <c r="D81" i="9"/>
  <c r="D82" i="9"/>
  <c r="D83" i="9"/>
  <c r="D84" i="9"/>
  <c r="D85" i="9"/>
  <c r="D86" i="9"/>
  <c r="D87" i="9"/>
  <c r="D88" i="9"/>
  <c r="D89" i="9"/>
  <c r="D90" i="9"/>
  <c r="D91" i="9"/>
  <c r="D92" i="9"/>
  <c r="D93" i="9"/>
  <c r="D94" i="9"/>
  <c r="D95" i="9"/>
  <c r="D96" i="9"/>
  <c r="D97" i="9"/>
  <c r="D98" i="9"/>
  <c r="D99" i="9"/>
  <c r="D100" i="9"/>
  <c r="D101" i="9"/>
  <c r="D102" i="9"/>
  <c r="D103" i="9"/>
  <c r="G126" i="4" l="1"/>
  <c r="G127" i="4"/>
  <c r="G128" i="4"/>
  <c r="G129" i="4"/>
  <c r="G130" i="4"/>
  <c r="G131" i="4"/>
  <c r="G132" i="4"/>
  <c r="G133" i="4"/>
  <c r="G134" i="4"/>
  <c r="G135" i="4"/>
  <c r="G136" i="4"/>
  <c r="G137" i="4"/>
  <c r="G138" i="4"/>
  <c r="G139" i="4"/>
  <c r="G140" i="4"/>
  <c r="G141" i="4"/>
  <c r="G142" i="4"/>
  <c r="G143" i="4"/>
  <c r="G144" i="4"/>
  <c r="G145" i="4"/>
  <c r="G146" i="4"/>
  <c r="G147" i="4"/>
  <c r="G148" i="4"/>
  <c r="G149" i="4"/>
  <c r="G150" i="4"/>
  <c r="G151" i="4"/>
  <c r="G152" i="4"/>
  <c r="G153" i="4"/>
  <c r="G154" i="4"/>
  <c r="G155" i="4"/>
  <c r="G156" i="4"/>
  <c r="G157" i="4"/>
  <c r="G158" i="4"/>
  <c r="G159" i="4"/>
  <c r="G160" i="4"/>
  <c r="G161" i="4"/>
  <c r="G162" i="4"/>
  <c r="G163" i="4"/>
  <c r="G164" i="4"/>
  <c r="G165" i="4"/>
  <c r="G166" i="4"/>
  <c r="G167" i="4"/>
  <c r="G168" i="4"/>
  <c r="G169" i="4"/>
  <c r="G170" i="4"/>
  <c r="G171" i="4"/>
  <c r="G172" i="4"/>
  <c r="G125" i="4"/>
  <c r="D126" i="4"/>
  <c r="D127" i="4"/>
  <c r="D128" i="4"/>
  <c r="D129" i="4"/>
  <c r="D130" i="4"/>
  <c r="D131" i="4"/>
  <c r="D132" i="4"/>
  <c r="D133" i="4"/>
  <c r="D134" i="4"/>
  <c r="D135" i="4"/>
  <c r="D136" i="4"/>
  <c r="D137" i="4"/>
  <c r="D138" i="4"/>
  <c r="D139" i="4"/>
  <c r="D140" i="4"/>
  <c r="D141" i="4"/>
  <c r="D142" i="4"/>
  <c r="D143" i="4"/>
  <c r="D144" i="4"/>
  <c r="D145" i="4"/>
  <c r="D146" i="4"/>
  <c r="D147" i="4"/>
  <c r="D148" i="4"/>
  <c r="D149" i="4"/>
  <c r="D150" i="4"/>
  <c r="D151" i="4"/>
  <c r="D152" i="4"/>
  <c r="D153" i="4"/>
  <c r="D154" i="4"/>
  <c r="D155" i="4"/>
  <c r="D156" i="4"/>
  <c r="D157" i="4"/>
  <c r="D158" i="4"/>
  <c r="D159" i="4"/>
  <c r="D160" i="4"/>
  <c r="D161" i="4"/>
  <c r="D162" i="4"/>
  <c r="D163" i="4"/>
  <c r="D164" i="4"/>
  <c r="D165" i="4"/>
  <c r="D166" i="4"/>
  <c r="D167" i="4"/>
  <c r="D168" i="4"/>
  <c r="D169" i="4"/>
  <c r="D170" i="4"/>
  <c r="D171" i="4"/>
  <c r="D172" i="4"/>
  <c r="D125" i="4"/>
  <c r="D40" i="4"/>
  <c r="D41" i="4"/>
  <c r="D42" i="4"/>
  <c r="D43" i="4"/>
  <c r="D44" i="4"/>
  <c r="D45" i="4"/>
  <c r="D46" i="4"/>
  <c r="D47" i="4"/>
  <c r="D48" i="4"/>
  <c r="D49" i="4"/>
  <c r="D50" i="4"/>
  <c r="D51" i="4"/>
  <c r="D52" i="4"/>
  <c r="D53" i="4"/>
  <c r="D54" i="4"/>
  <c r="D55" i="4"/>
  <c r="D56" i="4"/>
  <c r="D57" i="4"/>
  <c r="D58" i="4"/>
  <c r="D59" i="4"/>
  <c r="D60" i="4"/>
  <c r="D61" i="4"/>
  <c r="D62" i="4"/>
  <c r="D63" i="4"/>
  <c r="D64" i="4"/>
  <c r="D65" i="4"/>
  <c r="D66" i="4"/>
  <c r="D67" i="4"/>
  <c r="D68" i="4"/>
  <c r="D69" i="4"/>
  <c r="D70" i="4"/>
  <c r="D71" i="4"/>
  <c r="D72" i="4"/>
  <c r="D73" i="4"/>
  <c r="D74" i="4"/>
  <c r="D75" i="4"/>
  <c r="D76" i="4"/>
  <c r="D77" i="4"/>
  <c r="D78" i="4"/>
  <c r="D79" i="4"/>
  <c r="D80" i="4"/>
  <c r="D81" i="4"/>
  <c r="D82" i="4"/>
  <c r="D83" i="4"/>
  <c r="D84" i="4"/>
  <c r="D85" i="4"/>
  <c r="D86" i="4"/>
  <c r="D87" i="4"/>
  <c r="D88" i="4"/>
  <c r="D89" i="4"/>
  <c r="D90" i="4"/>
  <c r="D91" i="4"/>
  <c r="D92" i="4"/>
  <c r="D93" i="4"/>
  <c r="D94" i="4"/>
  <c r="D95" i="4"/>
  <c r="D96" i="4"/>
  <c r="D97" i="4"/>
  <c r="D98" i="4"/>
  <c r="D99" i="4"/>
  <c r="D100" i="4"/>
  <c r="D101" i="4"/>
  <c r="D102" i="4"/>
  <c r="D103" i="4"/>
  <c r="D104" i="4"/>
  <c r="D105" i="4"/>
  <c r="D106" i="4"/>
  <c r="D107" i="4"/>
  <c r="D108" i="4"/>
  <c r="D109" i="4"/>
  <c r="D110" i="4"/>
  <c r="D111" i="4"/>
  <c r="D112" i="4"/>
  <c r="D113" i="4"/>
  <c r="D114" i="4"/>
  <c r="D115" i="4"/>
  <c r="D116" i="4"/>
  <c r="D117" i="4"/>
  <c r="D118" i="4"/>
  <c r="D119" i="4"/>
  <c r="D120" i="4"/>
  <c r="D121" i="4"/>
  <c r="D122" i="4"/>
  <c r="D123" i="4"/>
  <c r="D124" i="4"/>
  <c r="D39" i="4"/>
  <c r="G40" i="4"/>
  <c r="G41" i="4"/>
  <c r="G42" i="4"/>
  <c r="G43" i="4"/>
  <c r="G44" i="4"/>
  <c r="G45" i="4"/>
  <c r="G46" i="4"/>
  <c r="G47" i="4"/>
  <c r="G48" i="4"/>
  <c r="G49" i="4"/>
  <c r="G50" i="4"/>
  <c r="G51" i="4"/>
  <c r="G52" i="4"/>
  <c r="G53" i="4"/>
  <c r="G54" i="4"/>
  <c r="G55" i="4"/>
  <c r="G56" i="4"/>
  <c r="G57" i="4"/>
  <c r="G58" i="4"/>
  <c r="G59" i="4"/>
  <c r="G60" i="4"/>
  <c r="G61" i="4"/>
  <c r="G62" i="4"/>
  <c r="G63" i="4"/>
  <c r="G64" i="4"/>
  <c r="G65" i="4"/>
  <c r="G66" i="4"/>
  <c r="G67" i="4"/>
  <c r="G68" i="4"/>
  <c r="G69" i="4"/>
  <c r="G70" i="4"/>
  <c r="G71" i="4"/>
  <c r="G72" i="4"/>
  <c r="G73" i="4"/>
  <c r="G74" i="4"/>
  <c r="G75" i="4"/>
  <c r="G76" i="4"/>
  <c r="G77" i="4"/>
  <c r="G78" i="4"/>
  <c r="G79" i="4"/>
  <c r="G80" i="4"/>
  <c r="G81" i="4"/>
  <c r="G82" i="4"/>
  <c r="G83" i="4"/>
  <c r="G84" i="4"/>
  <c r="G85" i="4"/>
  <c r="G86" i="4"/>
  <c r="G87" i="4"/>
  <c r="G88" i="4"/>
  <c r="G89" i="4"/>
  <c r="G90" i="4"/>
  <c r="G91" i="4"/>
  <c r="G92" i="4"/>
  <c r="G93" i="4"/>
  <c r="G94" i="4"/>
  <c r="G95" i="4"/>
  <c r="G96" i="4"/>
  <c r="G97" i="4"/>
  <c r="G98" i="4"/>
  <c r="G99" i="4"/>
  <c r="G100" i="4"/>
  <c r="G101" i="4"/>
  <c r="G102" i="4"/>
  <c r="G103" i="4"/>
  <c r="G104" i="4"/>
  <c r="G105" i="4"/>
  <c r="G106" i="4"/>
  <c r="G107" i="4"/>
  <c r="G108" i="4"/>
  <c r="G109" i="4"/>
  <c r="G110" i="4"/>
  <c r="G111" i="4"/>
  <c r="G112" i="4"/>
  <c r="G113" i="4"/>
  <c r="G114" i="4"/>
  <c r="G115" i="4"/>
  <c r="G116" i="4"/>
  <c r="G117" i="4"/>
  <c r="G118" i="4"/>
  <c r="G119" i="4"/>
  <c r="G120" i="4"/>
  <c r="G121" i="4"/>
  <c r="G122" i="4"/>
  <c r="G123" i="4"/>
  <c r="G124" i="4"/>
  <c r="G39" i="4"/>
  <c r="B172" i="4"/>
  <c r="A170" i="4"/>
  <c r="C170" i="4" s="1"/>
  <c r="A171" i="4"/>
  <c r="B171" i="4" s="1"/>
  <c r="A172" i="4"/>
  <c r="C172" i="4" s="1"/>
  <c r="A168" i="4"/>
  <c r="A169" i="4"/>
  <c r="B169" i="4" s="1"/>
  <c r="A148" i="4"/>
  <c r="A149" i="4"/>
  <c r="B149" i="4" s="1"/>
  <c r="A150" i="4"/>
  <c r="B150" i="4" s="1"/>
  <c r="A151" i="4"/>
  <c r="B151" i="4" s="1"/>
  <c r="A152" i="4"/>
  <c r="A153" i="4"/>
  <c r="B153" i="4" s="1"/>
  <c r="A154" i="4"/>
  <c r="C154" i="4" s="1"/>
  <c r="A155" i="4"/>
  <c r="A156" i="4"/>
  <c r="B156" i="4" s="1"/>
  <c r="A157" i="4"/>
  <c r="C157" i="4" s="1"/>
  <c r="A158" i="4"/>
  <c r="C158" i="4" s="1"/>
  <c r="A159" i="4"/>
  <c r="A160" i="4"/>
  <c r="B160" i="4" s="1"/>
  <c r="A161" i="4"/>
  <c r="B161" i="4" s="1"/>
  <c r="A162" i="4"/>
  <c r="C162" i="4" s="1"/>
  <c r="A163" i="4"/>
  <c r="A164" i="4"/>
  <c r="A165" i="4"/>
  <c r="C165" i="4" s="1"/>
  <c r="A166" i="4"/>
  <c r="C166" i="4" s="1"/>
  <c r="A167" i="4"/>
  <c r="B167" i="4" s="1"/>
  <c r="C161" i="4"/>
  <c r="C160" i="4"/>
  <c r="B94" i="4"/>
  <c r="B102" i="4"/>
  <c r="B110" i="4"/>
  <c r="B118" i="4"/>
  <c r="A91" i="4"/>
  <c r="B91" i="4" s="1"/>
  <c r="A92" i="4"/>
  <c r="B92" i="4" s="1"/>
  <c r="A93" i="4"/>
  <c r="B93" i="4" s="1"/>
  <c r="A94" i="4"/>
  <c r="A95" i="4"/>
  <c r="B95" i="4" s="1"/>
  <c r="A96" i="4"/>
  <c r="B96" i="4" s="1"/>
  <c r="A97" i="4"/>
  <c r="B97" i="4" s="1"/>
  <c r="A98" i="4"/>
  <c r="B98" i="4" s="1"/>
  <c r="A99" i="4"/>
  <c r="B99" i="4" s="1"/>
  <c r="A100" i="4"/>
  <c r="B100" i="4" s="1"/>
  <c r="A101" i="4"/>
  <c r="B101" i="4" s="1"/>
  <c r="A102" i="4"/>
  <c r="A103" i="4"/>
  <c r="B103" i="4" s="1"/>
  <c r="A104" i="4"/>
  <c r="B104" i="4" s="1"/>
  <c r="A105" i="4"/>
  <c r="B105" i="4" s="1"/>
  <c r="A106" i="4"/>
  <c r="B106" i="4" s="1"/>
  <c r="A107" i="4"/>
  <c r="B107" i="4" s="1"/>
  <c r="A108" i="4"/>
  <c r="B108" i="4" s="1"/>
  <c r="A109" i="4"/>
  <c r="B109" i="4" s="1"/>
  <c r="A110" i="4"/>
  <c r="A111" i="4"/>
  <c r="B111" i="4" s="1"/>
  <c r="A112" i="4"/>
  <c r="B112" i="4" s="1"/>
  <c r="A113" i="4"/>
  <c r="B113" i="4" s="1"/>
  <c r="A114" i="4"/>
  <c r="B114" i="4" s="1"/>
  <c r="A115" i="4"/>
  <c r="B115" i="4" s="1"/>
  <c r="A116" i="4"/>
  <c r="B116" i="4" s="1"/>
  <c r="A117" i="4"/>
  <c r="B117" i="4" s="1"/>
  <c r="A118" i="4"/>
  <c r="A119" i="4"/>
  <c r="B119" i="4" s="1"/>
  <c r="A120" i="4"/>
  <c r="B120" i="4" s="1"/>
  <c r="A121" i="4"/>
  <c r="B121" i="4" s="1"/>
  <c r="A122" i="4"/>
  <c r="B122" i="4" s="1"/>
  <c r="A123" i="4"/>
  <c r="B123" i="4" s="1"/>
  <c r="A124" i="4"/>
  <c r="B124" i="4" s="1"/>
  <c r="A125" i="4"/>
  <c r="B125" i="4" s="1"/>
  <c r="A126" i="4"/>
  <c r="B126" i="4" s="1"/>
  <c r="A127" i="4"/>
  <c r="B127" i="4" s="1"/>
  <c r="A128" i="4"/>
  <c r="B128" i="4" s="1"/>
  <c r="A129" i="4"/>
  <c r="B129" i="4" s="1"/>
  <c r="A130" i="4"/>
  <c r="B130" i="4" s="1"/>
  <c r="A131" i="4"/>
  <c r="B131" i="4" s="1"/>
  <c r="A132" i="4"/>
  <c r="B132" i="4" s="1"/>
  <c r="A133" i="4"/>
  <c r="B133" i="4" s="1"/>
  <c r="A134" i="4"/>
  <c r="A135" i="4"/>
  <c r="B135" i="4" s="1"/>
  <c r="A136" i="4"/>
  <c r="A137" i="4"/>
  <c r="B137" i="4" s="1"/>
  <c r="A138" i="4"/>
  <c r="B138" i="4" s="1"/>
  <c r="A139" i="4"/>
  <c r="B139" i="4" s="1"/>
  <c r="A140" i="4"/>
  <c r="B140" i="4" s="1"/>
  <c r="A141" i="4"/>
  <c r="B141" i="4" s="1"/>
  <c r="A142" i="4"/>
  <c r="B142" i="4" s="1"/>
  <c r="A143" i="4"/>
  <c r="B143" i="4" s="1"/>
  <c r="A144" i="4"/>
  <c r="A145" i="4"/>
  <c r="B145" i="4" s="1"/>
  <c r="A146" i="4"/>
  <c r="A147" i="4"/>
  <c r="B147" i="4" s="1"/>
  <c r="B134" i="4"/>
  <c r="B136" i="4"/>
  <c r="B144" i="4"/>
  <c r="B146" i="4"/>
  <c r="B10" i="4"/>
  <c r="A39" i="4"/>
  <c r="B39" i="4" s="1"/>
  <c r="A40" i="4"/>
  <c r="B40" i="4" s="1"/>
  <c r="A41" i="4"/>
  <c r="B41" i="4" s="1"/>
  <c r="A42" i="4"/>
  <c r="B42" i="4" s="1"/>
  <c r="A43" i="4"/>
  <c r="B43" i="4" s="1"/>
  <c r="A44" i="4"/>
  <c r="B44" i="4" s="1"/>
  <c r="A45" i="4"/>
  <c r="B45" i="4" s="1"/>
  <c r="A46" i="4"/>
  <c r="B46" i="4" s="1"/>
  <c r="A47" i="4"/>
  <c r="B47" i="4" s="1"/>
  <c r="A48" i="4"/>
  <c r="B48" i="4" s="1"/>
  <c r="A49" i="4"/>
  <c r="B49" i="4" s="1"/>
  <c r="A50" i="4"/>
  <c r="B50" i="4" s="1"/>
  <c r="A51" i="4"/>
  <c r="B51" i="4" s="1"/>
  <c r="A52" i="4"/>
  <c r="B52" i="4" s="1"/>
  <c r="A53" i="4"/>
  <c r="B53" i="4" s="1"/>
  <c r="A54" i="4"/>
  <c r="B54" i="4" s="1"/>
  <c r="A55" i="4"/>
  <c r="B55" i="4" s="1"/>
  <c r="A56" i="4"/>
  <c r="B56" i="4" s="1"/>
  <c r="A57" i="4"/>
  <c r="B57" i="4" s="1"/>
  <c r="A58" i="4"/>
  <c r="B58" i="4" s="1"/>
  <c r="A59" i="4"/>
  <c r="B59" i="4" s="1"/>
  <c r="A60" i="4"/>
  <c r="B60" i="4" s="1"/>
  <c r="A61" i="4"/>
  <c r="B61" i="4" s="1"/>
  <c r="A62" i="4"/>
  <c r="B62" i="4" s="1"/>
  <c r="A63" i="4"/>
  <c r="B63" i="4" s="1"/>
  <c r="A64" i="4"/>
  <c r="B64" i="4" s="1"/>
  <c r="A65" i="4"/>
  <c r="B65" i="4" s="1"/>
  <c r="A66" i="4"/>
  <c r="B66" i="4" s="1"/>
  <c r="A67" i="4"/>
  <c r="B67" i="4" s="1"/>
  <c r="A68" i="4"/>
  <c r="B68" i="4" s="1"/>
  <c r="A69" i="4"/>
  <c r="B69" i="4" s="1"/>
  <c r="A70" i="4"/>
  <c r="B70" i="4" s="1"/>
  <c r="A71" i="4"/>
  <c r="B71" i="4" s="1"/>
  <c r="A72" i="4"/>
  <c r="B72" i="4" s="1"/>
  <c r="A73" i="4"/>
  <c r="B73" i="4" s="1"/>
  <c r="A74" i="4"/>
  <c r="B74" i="4" s="1"/>
  <c r="A75" i="4"/>
  <c r="B75" i="4" s="1"/>
  <c r="A76" i="4"/>
  <c r="B76" i="4" s="1"/>
  <c r="A77" i="4"/>
  <c r="B77" i="4" s="1"/>
  <c r="A78" i="4"/>
  <c r="B78" i="4" s="1"/>
  <c r="A79" i="4"/>
  <c r="B79" i="4" s="1"/>
  <c r="A80" i="4"/>
  <c r="B80" i="4" s="1"/>
  <c r="A81" i="4"/>
  <c r="B81" i="4" s="1"/>
  <c r="A82" i="4"/>
  <c r="B82" i="4" s="1"/>
  <c r="A83" i="4"/>
  <c r="B83" i="4" s="1"/>
  <c r="A84" i="4"/>
  <c r="B84" i="4" s="1"/>
  <c r="A85" i="4"/>
  <c r="B85" i="4" s="1"/>
  <c r="A86" i="4"/>
  <c r="B86" i="4" s="1"/>
  <c r="A87" i="4"/>
  <c r="B87" i="4" s="1"/>
  <c r="A88" i="4"/>
  <c r="B88" i="4" s="1"/>
  <c r="A89" i="4"/>
  <c r="B89" i="4" s="1"/>
  <c r="A90" i="4"/>
  <c r="B90" i="4" s="1"/>
  <c r="G4" i="4"/>
  <c r="G5" i="4"/>
  <c r="G6" i="4"/>
  <c r="G7" i="4"/>
  <c r="G8" i="4"/>
  <c r="G9" i="4"/>
  <c r="G10" i="4"/>
  <c r="G11" i="4"/>
  <c r="G12" i="4"/>
  <c r="G13" i="4"/>
  <c r="G14" i="4"/>
  <c r="G15" i="4"/>
  <c r="G16" i="4"/>
  <c r="G17" i="4"/>
  <c r="G18" i="4"/>
  <c r="G19" i="4"/>
  <c r="G20" i="4"/>
  <c r="G21" i="4"/>
  <c r="G22" i="4"/>
  <c r="G23" i="4"/>
  <c r="G24" i="4"/>
  <c r="G25" i="4"/>
  <c r="G26" i="4"/>
  <c r="G27" i="4"/>
  <c r="G28" i="4"/>
  <c r="G29" i="4"/>
  <c r="G30" i="4"/>
  <c r="G31" i="4"/>
  <c r="G32" i="4"/>
  <c r="G33" i="4"/>
  <c r="G34" i="4"/>
  <c r="G35" i="4"/>
  <c r="G36" i="4"/>
  <c r="G37" i="4"/>
  <c r="G38" i="4"/>
  <c r="A5" i="4"/>
  <c r="B5" i="4" s="1"/>
  <c r="A6" i="4"/>
  <c r="B6" i="4" s="1"/>
  <c r="A7" i="4"/>
  <c r="B7" i="4" s="1"/>
  <c r="A8" i="4"/>
  <c r="B8" i="4" s="1"/>
  <c r="A9" i="4"/>
  <c r="B9" i="4" s="1"/>
  <c r="A10" i="4"/>
  <c r="A11" i="4"/>
  <c r="B11" i="4" s="1"/>
  <c r="A12" i="4"/>
  <c r="B12" i="4" s="1"/>
  <c r="A13" i="4"/>
  <c r="B13" i="4" s="1"/>
  <c r="A14" i="4"/>
  <c r="B14" i="4" s="1"/>
  <c r="A15" i="4"/>
  <c r="B15" i="4" s="1"/>
  <c r="A16" i="4"/>
  <c r="B16" i="4" s="1"/>
  <c r="A17" i="4"/>
  <c r="B17" i="4" s="1"/>
  <c r="A18" i="4"/>
  <c r="B18" i="4" s="1"/>
  <c r="A19" i="4"/>
  <c r="B19" i="4" s="1"/>
  <c r="A20" i="4"/>
  <c r="B20" i="4" s="1"/>
  <c r="A21" i="4"/>
  <c r="B21" i="4" s="1"/>
  <c r="A22" i="4"/>
  <c r="B22" i="4" s="1"/>
  <c r="A23" i="4"/>
  <c r="B23" i="4" s="1"/>
  <c r="A24" i="4"/>
  <c r="B24" i="4" s="1"/>
  <c r="A25" i="4"/>
  <c r="B25" i="4" s="1"/>
  <c r="A26" i="4"/>
  <c r="B26" i="4" s="1"/>
  <c r="A27" i="4"/>
  <c r="B27" i="4" s="1"/>
  <c r="A28" i="4"/>
  <c r="B28" i="4" s="1"/>
  <c r="A29" i="4"/>
  <c r="B29" i="4" s="1"/>
  <c r="A30" i="4"/>
  <c r="B30" i="4" s="1"/>
  <c r="A31" i="4"/>
  <c r="B31" i="4" s="1"/>
  <c r="A32" i="4"/>
  <c r="B32" i="4" s="1"/>
  <c r="A33" i="4"/>
  <c r="B33" i="4" s="1"/>
  <c r="A34" i="4"/>
  <c r="B34" i="4" s="1"/>
  <c r="A35" i="4"/>
  <c r="B35" i="4" s="1"/>
  <c r="A36" i="4"/>
  <c r="B36" i="4" s="1"/>
  <c r="A37" i="4"/>
  <c r="B37" i="4" s="1"/>
  <c r="A38" i="4"/>
  <c r="B38" i="4" s="1"/>
  <c r="B166" i="4" l="1"/>
  <c r="B158" i="4"/>
  <c r="B165" i="4"/>
  <c r="B157" i="4"/>
  <c r="C153" i="4"/>
  <c r="B170" i="4"/>
  <c r="B162" i="4"/>
  <c r="B154" i="4"/>
  <c r="C156" i="4"/>
  <c r="C169" i="4"/>
  <c r="B168" i="4"/>
  <c r="C168" i="4"/>
  <c r="C164" i="4"/>
  <c r="B164" i="4"/>
  <c r="B152" i="4"/>
  <c r="C152" i="4"/>
  <c r="C148" i="4"/>
  <c r="B148" i="4"/>
  <c r="C171" i="4"/>
  <c r="C163" i="4"/>
  <c r="B163" i="4"/>
  <c r="C159" i="4"/>
  <c r="B159" i="4"/>
  <c r="C155" i="4"/>
  <c r="B155" i="4"/>
  <c r="C167" i="4"/>
  <c r="C149" i="4"/>
  <c r="C151" i="4"/>
  <c r="C150" i="4"/>
  <c r="A4" i="4"/>
  <c r="B4" i="4" s="1"/>
  <c r="F4" i="12" l="1"/>
  <c r="F5" i="12"/>
  <c r="F6" i="12"/>
  <c r="F7" i="12"/>
  <c r="F8" i="12"/>
  <c r="F9" i="12"/>
  <c r="F10" i="12"/>
  <c r="F11" i="12"/>
  <c r="F3" i="12"/>
  <c r="F4" i="11"/>
  <c r="F5" i="11"/>
  <c r="F6" i="11"/>
  <c r="F7" i="11"/>
  <c r="F8" i="11"/>
  <c r="F9" i="11"/>
  <c r="F10" i="11"/>
  <c r="F11" i="11"/>
  <c r="F3" i="11"/>
  <c r="F4" i="2"/>
  <c r="F5" i="2"/>
  <c r="F6" i="2"/>
  <c r="F7" i="2"/>
  <c r="F8" i="2"/>
  <c r="F9" i="2"/>
  <c r="F10" i="2"/>
  <c r="F11" i="2"/>
  <c r="F12" i="2"/>
  <c r="F13" i="2"/>
  <c r="F14" i="2"/>
  <c r="F15" i="2"/>
  <c r="F16" i="2"/>
  <c r="F17" i="2"/>
  <c r="F18" i="2"/>
  <c r="F19" i="2"/>
  <c r="F20" i="2"/>
  <c r="F21" i="2"/>
  <c r="F22" i="2"/>
  <c r="F23" i="2"/>
  <c r="F24" i="2"/>
  <c r="F25" i="2"/>
  <c r="F26" i="2"/>
  <c r="F27" i="2"/>
  <c r="F28" i="2"/>
  <c r="F29" i="2"/>
  <c r="F30" i="2"/>
  <c r="F31" i="2"/>
  <c r="F32" i="2"/>
  <c r="F33" i="2"/>
  <c r="F34" i="2"/>
  <c r="F35" i="2"/>
  <c r="F36" i="2"/>
  <c r="F37" i="2"/>
  <c r="F38" i="2"/>
  <c r="F39" i="2"/>
  <c r="F40" i="2"/>
  <c r="F41" i="2"/>
  <c r="F42" i="2"/>
  <c r="F43" i="2"/>
  <c r="F44" i="2"/>
  <c r="F45" i="2"/>
  <c r="F46" i="2"/>
  <c r="F47" i="2"/>
  <c r="F48" i="2"/>
  <c r="F49" i="2"/>
  <c r="F50" i="2"/>
  <c r="F51" i="2"/>
  <c r="F52" i="2"/>
  <c r="F53" i="2"/>
  <c r="F54" i="2"/>
  <c r="F55" i="2"/>
  <c r="F56" i="2"/>
  <c r="F57" i="2"/>
  <c r="F58" i="2"/>
  <c r="F59" i="2"/>
  <c r="F60" i="2"/>
  <c r="F61" i="2"/>
  <c r="F62" i="2"/>
  <c r="F63" i="2"/>
  <c r="F64" i="2"/>
  <c r="F65" i="2"/>
  <c r="F66" i="2"/>
  <c r="F67" i="2"/>
  <c r="F68" i="2"/>
  <c r="F69" i="2"/>
  <c r="F70" i="2"/>
  <c r="F71" i="2"/>
  <c r="F72" i="2"/>
  <c r="F73" i="2"/>
  <c r="F74" i="2"/>
  <c r="F75" i="2"/>
  <c r="F76" i="2"/>
  <c r="F77" i="2"/>
  <c r="F78" i="2"/>
  <c r="F79" i="2"/>
  <c r="F80" i="2"/>
  <c r="F81" i="2"/>
  <c r="F82" i="2"/>
  <c r="F83" i="2"/>
  <c r="F84" i="2"/>
  <c r="F85" i="2"/>
  <c r="F86" i="2"/>
  <c r="F87" i="2"/>
  <c r="F88" i="2"/>
  <c r="F89" i="2"/>
  <c r="F90" i="2"/>
  <c r="F91" i="2"/>
  <c r="F92" i="2"/>
  <c r="F93" i="2"/>
  <c r="F94" i="2"/>
  <c r="F95" i="2"/>
  <c r="F96" i="2"/>
  <c r="F97" i="2"/>
  <c r="F98" i="2"/>
  <c r="F99" i="2"/>
  <c r="F100" i="2"/>
  <c r="F101" i="2"/>
  <c r="F102" i="2"/>
  <c r="F103" i="2"/>
  <c r="F104" i="2"/>
  <c r="F105" i="2"/>
  <c r="F106" i="2"/>
  <c r="F107" i="2"/>
  <c r="F108" i="2"/>
  <c r="F109" i="2"/>
  <c r="F110" i="2"/>
  <c r="F111" i="2"/>
  <c r="F112" i="2"/>
  <c r="F113" i="2"/>
  <c r="F114" i="2"/>
  <c r="F115" i="2"/>
  <c r="F116" i="2"/>
  <c r="F117" i="2"/>
  <c r="F118" i="2"/>
  <c r="F119" i="2"/>
  <c r="F120" i="2"/>
  <c r="F121" i="2"/>
  <c r="F122" i="2"/>
  <c r="F123" i="2"/>
  <c r="F3" i="2"/>
  <c r="E4" i="2" l="1"/>
  <c r="E5" i="2"/>
  <c r="E6" i="2"/>
  <c r="E7" i="2"/>
  <c r="E8" i="2"/>
  <c r="E9" i="2"/>
  <c r="E10" i="2"/>
  <c r="E11" i="2"/>
  <c r="E12" i="2"/>
  <c r="E13" i="2"/>
  <c r="E14" i="2"/>
  <c r="E15" i="2"/>
  <c r="E16" i="2"/>
  <c r="E17" i="2"/>
  <c r="E18" i="2"/>
  <c r="E19" i="2"/>
  <c r="E20" i="2"/>
  <c r="E21" i="2"/>
  <c r="E22" i="2"/>
  <c r="E23" i="2"/>
  <c r="E24" i="2"/>
  <c r="E25" i="2"/>
  <c r="E26" i="2"/>
  <c r="E27" i="2"/>
  <c r="E28" i="2"/>
  <c r="E29" i="2"/>
  <c r="E30" i="2"/>
  <c r="E31" i="2"/>
  <c r="E32" i="2"/>
  <c r="E33" i="2"/>
  <c r="E34" i="2"/>
  <c r="E35" i="2"/>
  <c r="E36" i="2"/>
  <c r="E37" i="2"/>
  <c r="E38" i="2"/>
  <c r="E39" i="2"/>
  <c r="E40" i="2"/>
  <c r="E41" i="2"/>
  <c r="E42" i="2"/>
  <c r="E43" i="2"/>
  <c r="E44" i="2"/>
  <c r="E45" i="2"/>
  <c r="E46" i="2"/>
  <c r="E47" i="2"/>
  <c r="E48" i="2"/>
  <c r="E49" i="2"/>
  <c r="E50" i="2"/>
  <c r="E51" i="2"/>
  <c r="E52" i="2"/>
  <c r="E53" i="2"/>
  <c r="E54" i="2"/>
  <c r="E55" i="2"/>
  <c r="E56" i="2"/>
  <c r="E57" i="2"/>
  <c r="E58" i="2"/>
  <c r="E59" i="2"/>
  <c r="E60" i="2"/>
  <c r="E61" i="2"/>
  <c r="E62" i="2"/>
  <c r="E63" i="2"/>
  <c r="E64" i="2"/>
  <c r="E65" i="2"/>
  <c r="E66" i="2"/>
  <c r="E67" i="2"/>
  <c r="E68" i="2"/>
  <c r="E69" i="2"/>
  <c r="E70" i="2"/>
  <c r="E71" i="2"/>
  <c r="E72" i="2"/>
  <c r="E73" i="2"/>
  <c r="E74" i="2"/>
  <c r="E75" i="2"/>
  <c r="E76" i="2"/>
  <c r="E77" i="2"/>
  <c r="E78" i="2"/>
  <c r="E79" i="2"/>
  <c r="E80" i="2"/>
  <c r="E81" i="2"/>
  <c r="E82" i="2"/>
  <c r="E83" i="2"/>
  <c r="E84" i="2"/>
  <c r="E85" i="2"/>
  <c r="E86" i="2"/>
  <c r="E87" i="2"/>
  <c r="E88" i="2"/>
  <c r="E89" i="2"/>
  <c r="E90" i="2"/>
  <c r="E91" i="2"/>
  <c r="E92" i="2"/>
  <c r="E93" i="2"/>
  <c r="E94" i="2"/>
  <c r="E95" i="2"/>
  <c r="E96" i="2"/>
  <c r="E97" i="2"/>
  <c r="E98" i="2"/>
  <c r="E99" i="2"/>
  <c r="E100" i="2"/>
  <c r="E101" i="2"/>
  <c r="E102" i="2"/>
  <c r="E103" i="2"/>
  <c r="E104" i="2"/>
  <c r="E105" i="2"/>
  <c r="E106" i="2"/>
  <c r="E107" i="2"/>
  <c r="E108" i="2"/>
  <c r="E109" i="2"/>
  <c r="E110" i="2"/>
  <c r="E111" i="2"/>
  <c r="E112" i="2"/>
  <c r="E113" i="2"/>
  <c r="E114" i="2"/>
  <c r="E115" i="2"/>
  <c r="E116" i="2"/>
  <c r="E117" i="2"/>
  <c r="E118" i="2"/>
  <c r="E119" i="2"/>
  <c r="E120" i="2"/>
  <c r="E121" i="2"/>
  <c r="E122" i="2"/>
  <c r="E123" i="2"/>
  <c r="I11" i="12"/>
  <c r="E11" i="12"/>
  <c r="I10" i="12"/>
  <c r="E10" i="12"/>
  <c r="I9" i="12"/>
  <c r="E9" i="12"/>
  <c r="I8" i="12"/>
  <c r="E8" i="12"/>
  <c r="I7" i="12"/>
  <c r="E7" i="12"/>
  <c r="I6" i="12"/>
  <c r="E6" i="12"/>
  <c r="I5" i="12"/>
  <c r="E5" i="12"/>
  <c r="I4" i="12"/>
  <c r="E4" i="12"/>
  <c r="I3" i="12"/>
  <c r="E3" i="12"/>
  <c r="E4" i="11"/>
  <c r="E5" i="11"/>
  <c r="E6" i="11"/>
  <c r="E7" i="11"/>
  <c r="E8" i="11"/>
  <c r="E9" i="11"/>
  <c r="E10" i="11"/>
  <c r="E11" i="11"/>
  <c r="E3" i="11"/>
  <c r="I11" i="11"/>
  <c r="I10" i="11"/>
  <c r="I9" i="11"/>
  <c r="I8" i="11"/>
  <c r="I7" i="11"/>
  <c r="I6" i="11"/>
  <c r="I5" i="11"/>
  <c r="I4" i="11"/>
  <c r="I3" i="11"/>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I62" i="2"/>
  <c r="I63" i="2"/>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4" i="2"/>
  <c r="I5" i="2"/>
  <c r="I6" i="2"/>
  <c r="I7" i="2"/>
  <c r="I8" i="2"/>
  <c r="I9" i="2"/>
  <c r="I10" i="2"/>
  <c r="I11" i="2"/>
  <c r="E3" i="2"/>
  <c r="I3" i="2"/>
  <c r="F124" i="1" l="1"/>
  <c r="F42" i="1"/>
  <c r="F46" i="1"/>
  <c r="F50" i="1"/>
  <c r="F54" i="1"/>
  <c r="F58" i="1"/>
  <c r="F62" i="1"/>
  <c r="F66" i="1"/>
  <c r="F70" i="1"/>
  <c r="F74" i="1"/>
  <c r="F78" i="1"/>
  <c r="F82" i="1"/>
  <c r="F86" i="1"/>
  <c r="F90" i="1"/>
  <c r="F94" i="1"/>
  <c r="F98" i="1"/>
  <c r="F102" i="1"/>
  <c r="F106" i="1"/>
  <c r="F110" i="1"/>
  <c r="F114" i="1"/>
  <c r="F118" i="1"/>
  <c r="F122" i="1"/>
  <c r="F43" i="1"/>
  <c r="F51" i="1"/>
  <c r="F55" i="1"/>
  <c r="F63" i="1"/>
  <c r="F71" i="1"/>
  <c r="F79" i="1"/>
  <c r="F87" i="1"/>
  <c r="F95" i="1"/>
  <c r="F103" i="1"/>
  <c r="F111" i="1"/>
  <c r="F119" i="1"/>
  <c r="F73" i="1"/>
  <c r="F85" i="1"/>
  <c r="F97" i="1"/>
  <c r="F109" i="1"/>
  <c r="F121" i="1"/>
  <c r="F47" i="1"/>
  <c r="F59" i="1"/>
  <c r="F67" i="1"/>
  <c r="F75" i="1"/>
  <c r="F83" i="1"/>
  <c r="F91" i="1"/>
  <c r="F99" i="1"/>
  <c r="F107" i="1"/>
  <c r="F115" i="1"/>
  <c r="F123" i="1"/>
  <c r="F77" i="1"/>
  <c r="F89" i="1"/>
  <c r="F101" i="1"/>
  <c r="F113" i="1"/>
  <c r="F39" i="1"/>
  <c r="F40" i="1"/>
  <c r="F44" i="1"/>
  <c r="F48" i="1"/>
  <c r="F52" i="1"/>
  <c r="F56" i="1"/>
  <c r="F60" i="1"/>
  <c r="F64" i="1"/>
  <c r="F68" i="1"/>
  <c r="F72" i="1"/>
  <c r="F76" i="1"/>
  <c r="F80" i="1"/>
  <c r="F84" i="1"/>
  <c r="F88" i="1"/>
  <c r="F92" i="1"/>
  <c r="F96" i="1"/>
  <c r="F100" i="1"/>
  <c r="F104" i="1"/>
  <c r="F108" i="1"/>
  <c r="F112" i="1"/>
  <c r="F116" i="1"/>
  <c r="F120" i="1"/>
  <c r="F41" i="1"/>
  <c r="F45" i="1"/>
  <c r="F49" i="1"/>
  <c r="F53" i="1"/>
  <c r="F57" i="1"/>
  <c r="F61" i="1"/>
  <c r="F65" i="1"/>
  <c r="F69" i="1"/>
  <c r="F81" i="1"/>
  <c r="F93" i="1"/>
  <c r="F105" i="1"/>
  <c r="F117" i="1"/>
  <c r="F126" i="1"/>
  <c r="F127" i="1"/>
  <c r="F131" i="1"/>
  <c r="F135" i="1"/>
  <c r="F139" i="1"/>
  <c r="F143" i="1"/>
  <c r="F147" i="1"/>
  <c r="F151" i="1"/>
  <c r="F155" i="1"/>
  <c r="F159" i="1"/>
  <c r="F163" i="1"/>
  <c r="F167" i="1"/>
  <c r="F171" i="1"/>
  <c r="F125" i="1"/>
  <c r="F136" i="1"/>
  <c r="F144" i="1"/>
  <c r="F148" i="1"/>
  <c r="F152" i="1"/>
  <c r="F160" i="1"/>
  <c r="F164" i="1"/>
  <c r="F172" i="1"/>
  <c r="F128" i="1"/>
  <c r="F132" i="1"/>
  <c r="F140" i="1"/>
  <c r="F156" i="1"/>
  <c r="F168" i="1"/>
  <c r="F129" i="1"/>
  <c r="F133" i="1"/>
  <c r="F137" i="1"/>
  <c r="F141" i="1"/>
  <c r="F145" i="1"/>
  <c r="F149" i="1"/>
  <c r="F153" i="1"/>
  <c r="F157" i="1"/>
  <c r="F161" i="1"/>
  <c r="F165" i="1"/>
  <c r="F169" i="1"/>
  <c r="F130" i="1"/>
  <c r="F134" i="1"/>
  <c r="F138" i="1"/>
  <c r="F142" i="1"/>
  <c r="F146" i="1"/>
  <c r="F150" i="1"/>
  <c r="F154" i="1"/>
  <c r="F158" i="1"/>
  <c r="F162" i="1"/>
  <c r="F166" i="1"/>
  <c r="F170" i="1"/>
  <c r="G124" i="1" l="1"/>
  <c r="I124" i="1"/>
  <c r="B150" i="9"/>
  <c r="B151" i="9"/>
  <c r="C150" i="9"/>
  <c r="C151" i="9"/>
  <c r="B103" i="9"/>
  <c r="C103" i="9"/>
  <c r="N124" i="1" l="1"/>
  <c r="K124" i="1"/>
  <c r="J124" i="1"/>
  <c r="C107" i="9"/>
  <c r="C108" i="9"/>
  <c r="C109" i="9"/>
  <c r="C110" i="9"/>
  <c r="C111" i="9"/>
  <c r="C112" i="9"/>
  <c r="C113" i="9"/>
  <c r="C114" i="9"/>
  <c r="C115" i="9"/>
  <c r="C116" i="9"/>
  <c r="C117" i="9"/>
  <c r="C118" i="9"/>
  <c r="C119" i="9"/>
  <c r="C120" i="9"/>
  <c r="C121" i="9"/>
  <c r="C122" i="9"/>
  <c r="C123" i="9"/>
  <c r="C124" i="9"/>
  <c r="C125" i="9"/>
  <c r="C126" i="9"/>
  <c r="C127" i="9"/>
  <c r="C128" i="9"/>
  <c r="C129" i="9"/>
  <c r="C130" i="9"/>
  <c r="C131" i="9"/>
  <c r="C132" i="9"/>
  <c r="C133" i="9"/>
  <c r="C134" i="9"/>
  <c r="C135" i="9"/>
  <c r="C136" i="9"/>
  <c r="C137" i="9"/>
  <c r="C138" i="9"/>
  <c r="C139" i="9"/>
  <c r="C140" i="9"/>
  <c r="C141" i="9"/>
  <c r="C142" i="9"/>
  <c r="C143" i="9"/>
  <c r="C144" i="9"/>
  <c r="C145" i="9"/>
  <c r="C146" i="9"/>
  <c r="C147" i="9"/>
  <c r="C148" i="9"/>
  <c r="C149" i="9"/>
  <c r="C106" i="9"/>
  <c r="B107" i="9"/>
  <c r="B108" i="9"/>
  <c r="B109" i="9"/>
  <c r="B110" i="9"/>
  <c r="B111" i="9"/>
  <c r="B112" i="9"/>
  <c r="B113" i="9"/>
  <c r="B114" i="9"/>
  <c r="B115" i="9"/>
  <c r="B116" i="9"/>
  <c r="B117" i="9"/>
  <c r="B118" i="9"/>
  <c r="B119" i="9"/>
  <c r="B120" i="9"/>
  <c r="B121" i="9"/>
  <c r="B122" i="9"/>
  <c r="B123" i="9"/>
  <c r="B124" i="9"/>
  <c r="B125" i="9"/>
  <c r="B126" i="9"/>
  <c r="B127" i="9"/>
  <c r="B128" i="9"/>
  <c r="B129" i="9"/>
  <c r="B130" i="9"/>
  <c r="B131" i="9"/>
  <c r="B132" i="9"/>
  <c r="B133" i="9"/>
  <c r="B134" i="9"/>
  <c r="B135" i="9"/>
  <c r="B136" i="9"/>
  <c r="B137" i="9"/>
  <c r="B138" i="9"/>
  <c r="B139" i="9"/>
  <c r="B140" i="9"/>
  <c r="B141" i="9"/>
  <c r="B142" i="9"/>
  <c r="B143" i="9"/>
  <c r="B144" i="9"/>
  <c r="B145" i="9"/>
  <c r="B146" i="9"/>
  <c r="B147" i="9"/>
  <c r="B148" i="9"/>
  <c r="B149" i="9"/>
  <c r="B106" i="9"/>
  <c r="C42" i="9"/>
  <c r="C43" i="9"/>
  <c r="C44" i="9"/>
  <c r="C45" i="9"/>
  <c r="C46" i="9"/>
  <c r="C47" i="9"/>
  <c r="C48" i="9"/>
  <c r="C49" i="9"/>
  <c r="C50" i="9"/>
  <c r="C51" i="9"/>
  <c r="C52" i="9"/>
  <c r="C53" i="9"/>
  <c r="C54" i="9"/>
  <c r="C55" i="9"/>
  <c r="C56" i="9"/>
  <c r="C57" i="9"/>
  <c r="C58" i="9"/>
  <c r="C59" i="9"/>
  <c r="C60" i="9"/>
  <c r="C61" i="9"/>
  <c r="C62" i="9"/>
  <c r="C63" i="9"/>
  <c r="C64" i="9"/>
  <c r="C65" i="9"/>
  <c r="C66" i="9"/>
  <c r="C67" i="9"/>
  <c r="C68" i="9"/>
  <c r="C69" i="9"/>
  <c r="C70" i="9"/>
  <c r="C71" i="9"/>
  <c r="C72" i="9"/>
  <c r="C73" i="9"/>
  <c r="C74" i="9"/>
  <c r="C75" i="9"/>
  <c r="C76" i="9"/>
  <c r="C77" i="9"/>
  <c r="C78" i="9"/>
  <c r="C79" i="9"/>
  <c r="C80" i="9"/>
  <c r="C81" i="9"/>
  <c r="C82" i="9"/>
  <c r="C83" i="9"/>
  <c r="C84" i="9"/>
  <c r="C85" i="9"/>
  <c r="C86" i="9"/>
  <c r="C87" i="9"/>
  <c r="C88" i="9"/>
  <c r="C89" i="9"/>
  <c r="C90" i="9"/>
  <c r="C91" i="9"/>
  <c r="C92" i="9"/>
  <c r="C93" i="9"/>
  <c r="C94" i="9"/>
  <c r="C95" i="9"/>
  <c r="C96" i="9"/>
  <c r="C97" i="9"/>
  <c r="C98" i="9"/>
  <c r="C99" i="9"/>
  <c r="C100" i="9"/>
  <c r="C101" i="9"/>
  <c r="C102" i="9"/>
  <c r="C41" i="9"/>
  <c r="B42" i="9"/>
  <c r="B43" i="9"/>
  <c r="B44" i="9"/>
  <c r="B45" i="9"/>
  <c r="B46" i="9"/>
  <c r="B47" i="9"/>
  <c r="B48" i="9"/>
  <c r="B49" i="9"/>
  <c r="B50" i="9"/>
  <c r="B51" i="9"/>
  <c r="B52" i="9"/>
  <c r="B53" i="9"/>
  <c r="B54" i="9"/>
  <c r="B55" i="9"/>
  <c r="B56" i="9"/>
  <c r="B57" i="9"/>
  <c r="B58" i="9"/>
  <c r="B59" i="9"/>
  <c r="B60" i="9"/>
  <c r="B61" i="9"/>
  <c r="B62" i="9"/>
  <c r="B63" i="9"/>
  <c r="B64" i="9"/>
  <c r="B65" i="9"/>
  <c r="B66" i="9"/>
  <c r="B67" i="9"/>
  <c r="B68" i="9"/>
  <c r="B69" i="9"/>
  <c r="B70" i="9"/>
  <c r="B71" i="9"/>
  <c r="B72" i="9"/>
  <c r="B73" i="9"/>
  <c r="B74" i="9"/>
  <c r="B75" i="9"/>
  <c r="B76" i="9"/>
  <c r="B77" i="9"/>
  <c r="B78" i="9"/>
  <c r="B79" i="9"/>
  <c r="B80" i="9"/>
  <c r="B81" i="9"/>
  <c r="B82" i="9"/>
  <c r="B83" i="9"/>
  <c r="B84" i="9"/>
  <c r="B85" i="9"/>
  <c r="B86" i="9"/>
  <c r="B87" i="9"/>
  <c r="B88" i="9"/>
  <c r="B89" i="9"/>
  <c r="B90" i="9"/>
  <c r="B91" i="9"/>
  <c r="B92" i="9"/>
  <c r="B93" i="9"/>
  <c r="B94" i="9"/>
  <c r="B95" i="9"/>
  <c r="B96" i="9"/>
  <c r="B97" i="9"/>
  <c r="B98" i="9"/>
  <c r="B99" i="9"/>
  <c r="B100" i="9"/>
  <c r="B101" i="9"/>
  <c r="B102" i="9"/>
  <c r="B41" i="9"/>
  <c r="C5" i="9"/>
  <c r="C6" i="9"/>
  <c r="C7" i="9"/>
  <c r="C8" i="9"/>
  <c r="C9" i="9"/>
  <c r="C10" i="9"/>
  <c r="C11" i="9"/>
  <c r="C12" i="9"/>
  <c r="C13" i="9"/>
  <c r="C14" i="9"/>
  <c r="C15" i="9"/>
  <c r="C16" i="9"/>
  <c r="C17" i="9"/>
  <c r="C18" i="9"/>
  <c r="C19" i="9"/>
  <c r="C20" i="9"/>
  <c r="C21" i="9"/>
  <c r="C22" i="9"/>
  <c r="C23" i="9"/>
  <c r="C24" i="9"/>
  <c r="C25" i="9"/>
  <c r="C26" i="9"/>
  <c r="C27" i="9"/>
  <c r="C28" i="9"/>
  <c r="C29" i="9"/>
  <c r="C30" i="9"/>
  <c r="C31" i="9"/>
  <c r="C32" i="9"/>
  <c r="C33" i="9"/>
  <c r="C34" i="9"/>
  <c r="C35" i="9"/>
  <c r="C36" i="9"/>
  <c r="C4" i="9"/>
  <c r="B5" i="9"/>
  <c r="B6" i="9"/>
  <c r="B7" i="9"/>
  <c r="B8" i="9"/>
  <c r="B9" i="9"/>
  <c r="B10" i="9"/>
  <c r="B11" i="9"/>
  <c r="B12" i="9"/>
  <c r="B13" i="9"/>
  <c r="B14" i="9"/>
  <c r="B15" i="9"/>
  <c r="B16" i="9"/>
  <c r="B17" i="9"/>
  <c r="B18" i="9"/>
  <c r="B19" i="9"/>
  <c r="B20" i="9"/>
  <c r="B21" i="9"/>
  <c r="B22" i="9"/>
  <c r="B23" i="9"/>
  <c r="B24" i="9"/>
  <c r="B25" i="9"/>
  <c r="B26" i="9"/>
  <c r="B27" i="9"/>
  <c r="B28" i="9"/>
  <c r="B29" i="9"/>
  <c r="B30" i="9"/>
  <c r="B31" i="9"/>
  <c r="B32" i="9"/>
  <c r="B33" i="9"/>
  <c r="B34" i="9"/>
  <c r="B35" i="9"/>
  <c r="B36" i="9"/>
  <c r="B4" i="9"/>
  <c r="C143" i="4" l="1"/>
  <c r="C144" i="4"/>
  <c r="C145" i="4"/>
  <c r="C146" i="4"/>
  <c r="C147" i="4"/>
  <c r="B8" i="3" l="1"/>
  <c r="D6" i="3"/>
  <c r="C6" i="3"/>
  <c r="B6" i="3"/>
  <c r="D5" i="3"/>
  <c r="C5" i="3"/>
  <c r="B5" i="3"/>
  <c r="D4" i="3"/>
  <c r="C4" i="3"/>
  <c r="B4" i="3"/>
  <c r="D7" i="3"/>
  <c r="D8" i="3"/>
  <c r="D9" i="3"/>
  <c r="D10" i="3"/>
  <c r="D11" i="3"/>
  <c r="D12" i="3"/>
  <c r="D13" i="3"/>
  <c r="D14" i="3"/>
  <c r="D15" i="3"/>
  <c r="C7" i="3"/>
  <c r="C8" i="3"/>
  <c r="C9" i="3"/>
  <c r="C10" i="3"/>
  <c r="C11" i="3"/>
  <c r="C12" i="3"/>
  <c r="C13" i="3"/>
  <c r="C14" i="3"/>
  <c r="C15" i="3"/>
  <c r="B7" i="3"/>
  <c r="B9" i="3"/>
  <c r="B10" i="3"/>
  <c r="B11" i="3"/>
  <c r="B12" i="3"/>
  <c r="B13" i="3"/>
  <c r="B14" i="3"/>
  <c r="B15" i="3"/>
  <c r="D4" i="4"/>
  <c r="D5" i="4"/>
  <c r="D6" i="4"/>
  <c r="D7" i="4"/>
  <c r="D8" i="4"/>
  <c r="D9" i="4"/>
  <c r="D10" i="4"/>
  <c r="D11" i="4"/>
  <c r="D12" i="4"/>
  <c r="D13" i="4"/>
  <c r="D14" i="4"/>
  <c r="D15" i="4"/>
  <c r="D16" i="4"/>
  <c r="D17" i="4"/>
  <c r="D18" i="4"/>
  <c r="D19" i="4"/>
  <c r="D20" i="4"/>
  <c r="D21" i="4"/>
  <c r="D22" i="4"/>
  <c r="D23" i="4"/>
  <c r="D24" i="4"/>
  <c r="D25" i="4"/>
  <c r="D26" i="4"/>
  <c r="D27" i="4"/>
  <c r="D28" i="4"/>
  <c r="D29" i="4"/>
  <c r="D30" i="4"/>
  <c r="D31" i="4"/>
  <c r="D32" i="4"/>
  <c r="D33" i="4"/>
  <c r="D34" i="4"/>
  <c r="D35" i="4"/>
  <c r="D36" i="4"/>
  <c r="D37" i="4"/>
  <c r="D38" i="4"/>
  <c r="C6" i="4"/>
  <c r="C7" i="4"/>
  <c r="C10" i="4"/>
  <c r="C11" i="4"/>
  <c r="C14" i="4"/>
  <c r="C15" i="4"/>
  <c r="C18" i="4"/>
  <c r="C19" i="4"/>
  <c r="C22" i="4"/>
  <c r="C23" i="4"/>
  <c r="C26" i="4"/>
  <c r="C27" i="4"/>
  <c r="C30" i="4"/>
  <c r="C31" i="4"/>
  <c r="C34" i="4"/>
  <c r="C35" i="4"/>
  <c r="C38" i="4"/>
  <c r="C39" i="4"/>
  <c r="C42" i="4"/>
  <c r="C43" i="4"/>
  <c r="C46" i="4"/>
  <c r="C47" i="4"/>
  <c r="C50" i="4"/>
  <c r="C51" i="4"/>
  <c r="C54" i="4"/>
  <c r="C55" i="4"/>
  <c r="C58" i="4"/>
  <c r="C59" i="4"/>
  <c r="C62" i="4"/>
  <c r="C63" i="4"/>
  <c r="C66" i="4"/>
  <c r="C67" i="4"/>
  <c r="C70" i="4"/>
  <c r="C71" i="4"/>
  <c r="C74" i="4"/>
  <c r="C75" i="4"/>
  <c r="C78" i="4"/>
  <c r="C79" i="4"/>
  <c r="C82" i="4"/>
  <c r="C83" i="4"/>
  <c r="C86" i="4"/>
  <c r="C87" i="4"/>
  <c r="C90" i="4"/>
  <c r="C91" i="4"/>
  <c r="C94" i="4"/>
  <c r="C95" i="4"/>
  <c r="C98" i="4"/>
  <c r="C99" i="4"/>
  <c r="C102" i="4"/>
  <c r="C103" i="4"/>
  <c r="C106" i="4"/>
  <c r="C107" i="4"/>
  <c r="C110" i="4"/>
  <c r="C111" i="4"/>
  <c r="C114" i="4"/>
  <c r="C115" i="4"/>
  <c r="C118" i="4"/>
  <c r="C119" i="4"/>
  <c r="C122" i="4"/>
  <c r="C123" i="4"/>
  <c r="C126" i="4"/>
  <c r="C127" i="4"/>
  <c r="C130" i="4"/>
  <c r="C131" i="4"/>
  <c r="C134" i="4"/>
  <c r="C135" i="4"/>
  <c r="C138" i="4"/>
  <c r="C139" i="4"/>
  <c r="C142" i="4"/>
  <c r="C141" i="4" l="1"/>
  <c r="C137" i="4"/>
  <c r="C133" i="4"/>
  <c r="C129" i="4"/>
  <c r="C125" i="4"/>
  <c r="C121" i="4"/>
  <c r="C117" i="4"/>
  <c r="C113" i="4"/>
  <c r="C109" i="4"/>
  <c r="C105" i="4"/>
  <c r="C101" i="4"/>
  <c r="C97" i="4"/>
  <c r="C93" i="4"/>
  <c r="C89" i="4"/>
  <c r="C85" i="4"/>
  <c r="C81" i="4"/>
  <c r="C77" i="4"/>
  <c r="C73" i="4"/>
  <c r="C69" i="4"/>
  <c r="C65" i="4"/>
  <c r="C61" i="4"/>
  <c r="C57" i="4"/>
  <c r="C53" i="4"/>
  <c r="C49" i="4"/>
  <c r="C45" i="4"/>
  <c r="C41" i="4"/>
  <c r="C37" i="4"/>
  <c r="C33" i="4"/>
  <c r="C29" i="4"/>
  <c r="C25" i="4"/>
  <c r="C21" i="4"/>
  <c r="C17" i="4"/>
  <c r="C13" i="4"/>
  <c r="C9" i="4"/>
  <c r="C5" i="4"/>
  <c r="C140" i="4"/>
  <c r="C136" i="4"/>
  <c r="C132" i="4"/>
  <c r="C128" i="4"/>
  <c r="C124" i="4"/>
  <c r="C120" i="4"/>
  <c r="C116" i="4"/>
  <c r="C112" i="4"/>
  <c r="C108" i="4"/>
  <c r="C104" i="4"/>
  <c r="C100" i="4"/>
  <c r="C96" i="4"/>
  <c r="C92" i="4"/>
  <c r="C88" i="4"/>
  <c r="C84" i="4"/>
  <c r="C80" i="4"/>
  <c r="C76" i="4"/>
  <c r="C72" i="4"/>
  <c r="C68" i="4"/>
  <c r="C64" i="4"/>
  <c r="C60" i="4"/>
  <c r="C56" i="4"/>
  <c r="C52" i="4"/>
  <c r="C48" i="4"/>
  <c r="C44" i="4"/>
  <c r="C40" i="4"/>
  <c r="C36" i="4"/>
  <c r="C32" i="4"/>
  <c r="C28" i="4"/>
  <c r="C24" i="4"/>
  <c r="C20" i="4"/>
  <c r="C16" i="4"/>
  <c r="C12" i="4"/>
  <c r="C8" i="4"/>
  <c r="G50" i="1" l="1"/>
  <c r="I50" i="1"/>
  <c r="G51" i="1"/>
  <c r="G115" i="1"/>
  <c r="G55" i="1"/>
  <c r="G72" i="1"/>
  <c r="G61" i="1"/>
  <c r="G94" i="1"/>
  <c r="G42" i="1"/>
  <c r="G41" i="1"/>
  <c r="I110" i="1"/>
  <c r="I89" i="1"/>
  <c r="G87" i="1"/>
  <c r="G108" i="1"/>
  <c r="G129" i="1"/>
  <c r="G93" i="1"/>
  <c r="G83" i="1"/>
  <c r="G149" i="1"/>
  <c r="G148" i="1"/>
  <c r="F29" i="1"/>
  <c r="G29" i="1" s="1"/>
  <c r="F10" i="1"/>
  <c r="G10" i="1" s="1"/>
  <c r="F13" i="1"/>
  <c r="G13" i="1" s="1"/>
  <c r="F30" i="1"/>
  <c r="G30" i="1" s="1"/>
  <c r="G57" i="1"/>
  <c r="G75" i="1"/>
  <c r="G98" i="1"/>
  <c r="G118" i="1"/>
  <c r="G135" i="1"/>
  <c r="G154" i="1"/>
  <c r="G170" i="1"/>
  <c r="F27" i="1"/>
  <c r="G27" i="1" s="1"/>
  <c r="G67" i="1"/>
  <c r="G109" i="1"/>
  <c r="G142" i="1"/>
  <c r="F5" i="1"/>
  <c r="G5" i="1" s="1"/>
  <c r="F22" i="1"/>
  <c r="G22" i="1" s="1"/>
  <c r="G39" i="1"/>
  <c r="G86" i="1"/>
  <c r="G107" i="1"/>
  <c r="G127" i="1"/>
  <c r="G145" i="1"/>
  <c r="F6" i="1"/>
  <c r="G6" i="1" s="1"/>
  <c r="G46" i="1"/>
  <c r="G96" i="1"/>
  <c r="G138" i="1"/>
  <c r="G172" i="1"/>
  <c r="F20" i="1"/>
  <c r="G20" i="1" s="1"/>
  <c r="G65" i="1"/>
  <c r="G105" i="1"/>
  <c r="G139" i="1"/>
  <c r="F24" i="1"/>
  <c r="G24" i="1" s="1"/>
  <c r="G68" i="1"/>
  <c r="G111" i="1"/>
  <c r="G161" i="1"/>
  <c r="G147" i="1"/>
  <c r="G168" i="1"/>
  <c r="F18" i="1"/>
  <c r="G18" i="1" s="1"/>
  <c r="G103" i="1"/>
  <c r="G97" i="1"/>
  <c r="F16" i="1"/>
  <c r="G16" i="1" s="1"/>
  <c r="G143" i="1"/>
  <c r="F17" i="1"/>
  <c r="G17" i="1" s="1"/>
  <c r="F34" i="1"/>
  <c r="G34" i="1" s="1"/>
  <c r="G62" i="1"/>
  <c r="G79" i="1"/>
  <c r="G102" i="1"/>
  <c r="G122" i="1"/>
  <c r="G140" i="1"/>
  <c r="G158" i="1"/>
  <c r="G155" i="1"/>
  <c r="F36" i="1"/>
  <c r="G36" i="1" s="1"/>
  <c r="G77" i="1"/>
  <c r="G116" i="1"/>
  <c r="G152" i="1"/>
  <c r="F9" i="1"/>
  <c r="G9" i="1" s="1"/>
  <c r="F26" i="1"/>
  <c r="G26" i="1" s="1"/>
  <c r="G53" i="1"/>
  <c r="G70" i="1"/>
  <c r="G95" i="1"/>
  <c r="G113" i="1"/>
  <c r="G132" i="1"/>
  <c r="G151" i="1"/>
  <c r="F15" i="1"/>
  <c r="G15" i="1" s="1"/>
  <c r="G64" i="1"/>
  <c r="G104" i="1"/>
  <c r="G146" i="1"/>
  <c r="F28" i="1"/>
  <c r="G28" i="1" s="1"/>
  <c r="G73" i="1"/>
  <c r="G117" i="1"/>
  <c r="F33" i="1"/>
  <c r="G33" i="1" s="1"/>
  <c r="G78" i="1"/>
  <c r="G121" i="1"/>
  <c r="G153" i="1"/>
  <c r="G165" i="1"/>
  <c r="F25" i="1"/>
  <c r="G25" i="1" s="1"/>
  <c r="G48" i="1"/>
  <c r="G150" i="1"/>
  <c r="G171" i="1"/>
  <c r="F19" i="1"/>
  <c r="G19" i="1" s="1"/>
  <c r="G100" i="1"/>
  <c r="F35" i="1"/>
  <c r="G35" i="1" s="1"/>
  <c r="G80" i="1"/>
  <c r="G167" i="1"/>
  <c r="F32" i="1"/>
  <c r="G32" i="1" s="1"/>
  <c r="G128" i="1"/>
  <c r="F12" i="1"/>
  <c r="G12" i="1" s="1"/>
  <c r="G134" i="1"/>
  <c r="G60" i="1"/>
  <c r="F4" i="1"/>
  <c r="G4" i="1" s="1"/>
  <c r="F21" i="1"/>
  <c r="G21" i="1" s="1"/>
  <c r="F38" i="1"/>
  <c r="G38" i="1" s="1"/>
  <c r="G66" i="1"/>
  <c r="G85" i="1"/>
  <c r="G106" i="1"/>
  <c r="G126" i="1"/>
  <c r="G144" i="1"/>
  <c r="G162" i="1"/>
  <c r="G163" i="1"/>
  <c r="F11" i="1"/>
  <c r="G11" i="1" s="1"/>
  <c r="G54" i="1"/>
  <c r="G91" i="1"/>
  <c r="G160" i="1"/>
  <c r="F7" i="1"/>
  <c r="G7" i="1" s="1"/>
  <c r="F14" i="1"/>
  <c r="G14" i="1" s="1"/>
  <c r="F31" i="1"/>
  <c r="G31" i="1" s="1"/>
  <c r="G58" i="1"/>
  <c r="G76" i="1"/>
  <c r="G99" i="1"/>
  <c r="G119" i="1"/>
  <c r="G136" i="1"/>
  <c r="G159" i="1"/>
  <c r="F23" i="1"/>
  <c r="G23" i="1" s="1"/>
  <c r="G71" i="1"/>
  <c r="G120" i="1"/>
  <c r="G156" i="1"/>
  <c r="G47" i="1"/>
  <c r="G84" i="1"/>
  <c r="G125" i="1"/>
  <c r="F37" i="1"/>
  <c r="G37" i="1" s="1"/>
  <c r="G92" i="1"/>
  <c r="G130" i="1"/>
  <c r="G157" i="1"/>
  <c r="G169" i="1"/>
  <c r="F8" i="1"/>
  <c r="G8" i="1" s="1"/>
  <c r="G69" i="1"/>
  <c r="G112" i="1"/>
  <c r="G131" i="1"/>
  <c r="G166" i="1"/>
  <c r="G59" i="1"/>
  <c r="G133" i="1"/>
  <c r="G63" i="1"/>
  <c r="G123" i="1"/>
  <c r="G141" i="1"/>
  <c r="G81" i="1"/>
  <c r="G164" i="1"/>
  <c r="G56" i="1"/>
  <c r="G101" i="1"/>
  <c r="N110" i="1" l="1"/>
  <c r="N50" i="1"/>
  <c r="N89" i="1"/>
  <c r="K50" i="1"/>
  <c r="I51" i="1"/>
  <c r="J50" i="1"/>
  <c r="G49" i="1"/>
  <c r="I49" i="1"/>
  <c r="E49" i="4" s="1"/>
  <c r="I115" i="1"/>
  <c r="G52" i="1"/>
  <c r="I52" i="1"/>
  <c r="I55" i="1"/>
  <c r="G114" i="1"/>
  <c r="I114" i="1"/>
  <c r="I72" i="1"/>
  <c r="G74" i="1"/>
  <c r="I74" i="1"/>
  <c r="I61" i="1"/>
  <c r="I94" i="1"/>
  <c r="G82" i="1"/>
  <c r="I82" i="1"/>
  <c r="I42" i="1"/>
  <c r="E42" i="4" s="1"/>
  <c r="G43" i="1"/>
  <c r="I43" i="1"/>
  <c r="I41" i="1"/>
  <c r="E41" i="4" s="1"/>
  <c r="G44" i="1"/>
  <c r="I44" i="1"/>
  <c r="G110" i="1"/>
  <c r="J110" i="1" s="1"/>
  <c r="G45" i="1"/>
  <c r="I45" i="1"/>
  <c r="G89" i="1"/>
  <c r="J89" i="1" s="1"/>
  <c r="I87" i="1"/>
  <c r="G88" i="1"/>
  <c r="I88" i="1"/>
  <c r="I108" i="1"/>
  <c r="G90" i="1"/>
  <c r="I90" i="1"/>
  <c r="E90" i="4" s="1"/>
  <c r="I129" i="1"/>
  <c r="G137" i="1"/>
  <c r="I137" i="1"/>
  <c r="I40" i="1"/>
  <c r="G40" i="1"/>
  <c r="I93" i="1"/>
  <c r="I83" i="1"/>
  <c r="I149" i="1"/>
  <c r="I148" i="1"/>
  <c r="I29" i="1"/>
  <c r="I10" i="1"/>
  <c r="N10" i="1" s="1"/>
  <c r="I131" i="1"/>
  <c r="I47" i="1"/>
  <c r="I14" i="1"/>
  <c r="N14" i="1" s="1"/>
  <c r="I53" i="1"/>
  <c r="I63" i="1"/>
  <c r="I120" i="1"/>
  <c r="I66" i="1"/>
  <c r="I134" i="1"/>
  <c r="I78" i="1"/>
  <c r="I132" i="1"/>
  <c r="I155" i="1"/>
  <c r="I105" i="1"/>
  <c r="I172" i="1"/>
  <c r="I39" i="1"/>
  <c r="I27" i="1"/>
  <c r="I170" i="1"/>
  <c r="I98" i="1"/>
  <c r="I13" i="1"/>
  <c r="N13" i="1" s="1"/>
  <c r="I101" i="1"/>
  <c r="I81" i="1"/>
  <c r="I59" i="1"/>
  <c r="I112" i="1"/>
  <c r="I130" i="1"/>
  <c r="I71" i="1"/>
  <c r="I159" i="1"/>
  <c r="I76" i="1"/>
  <c r="I7" i="1"/>
  <c r="N7" i="1" s="1"/>
  <c r="I91" i="1"/>
  <c r="I126" i="1"/>
  <c r="I38" i="1"/>
  <c r="N38" i="1" s="1"/>
  <c r="I12" i="1"/>
  <c r="N12" i="1" s="1"/>
  <c r="I80" i="1"/>
  <c r="I171" i="1"/>
  <c r="E172" i="4" s="1"/>
  <c r="I25" i="1"/>
  <c r="N25" i="1" s="1"/>
  <c r="I165" i="1"/>
  <c r="I33" i="1"/>
  <c r="N33" i="1" s="1"/>
  <c r="I73" i="1"/>
  <c r="I146" i="1"/>
  <c r="I113" i="1"/>
  <c r="I26" i="1"/>
  <c r="I152" i="1"/>
  <c r="I158" i="1"/>
  <c r="I79" i="1"/>
  <c r="I16" i="1"/>
  <c r="I147" i="1"/>
  <c r="I24" i="1"/>
  <c r="I65" i="1"/>
  <c r="I138" i="1"/>
  <c r="I107" i="1"/>
  <c r="I22" i="1"/>
  <c r="I142" i="1"/>
  <c r="E143" i="4" s="1"/>
  <c r="I154" i="1"/>
  <c r="I75" i="1"/>
  <c r="I164" i="1"/>
  <c r="I157" i="1"/>
  <c r="E158" i="4" s="1"/>
  <c r="I167" i="1"/>
  <c r="I102" i="1"/>
  <c r="I143" i="1"/>
  <c r="I127" i="1"/>
  <c r="I125" i="1"/>
  <c r="E125" i="4" s="1"/>
  <c r="I23" i="1"/>
  <c r="N23" i="1" s="1"/>
  <c r="I136" i="1"/>
  <c r="I58" i="1"/>
  <c r="I54" i="1"/>
  <c r="I163" i="1"/>
  <c r="I106" i="1"/>
  <c r="I21" i="1"/>
  <c r="N21" i="1" s="1"/>
  <c r="I128" i="1"/>
  <c r="I35" i="1"/>
  <c r="I100" i="1"/>
  <c r="I150" i="1"/>
  <c r="I153" i="1"/>
  <c r="E154" i="4" s="1"/>
  <c r="I28" i="1"/>
  <c r="I104" i="1"/>
  <c r="I95" i="1"/>
  <c r="I9" i="1"/>
  <c r="N9" i="1" s="1"/>
  <c r="I116" i="1"/>
  <c r="I140" i="1"/>
  <c r="I62" i="1"/>
  <c r="I97" i="1"/>
  <c r="I103" i="1"/>
  <c r="I161" i="1"/>
  <c r="I20" i="1"/>
  <c r="I96" i="1"/>
  <c r="I86" i="1"/>
  <c r="I5" i="1"/>
  <c r="N5" i="1" s="1"/>
  <c r="I109" i="1"/>
  <c r="I135" i="1"/>
  <c r="I57" i="1"/>
  <c r="I133" i="1"/>
  <c r="I99" i="1"/>
  <c r="I144" i="1"/>
  <c r="I48" i="1"/>
  <c r="I117" i="1"/>
  <c r="I15" i="1"/>
  <c r="I36" i="1"/>
  <c r="I17" i="1"/>
  <c r="I168" i="1"/>
  <c r="I68" i="1"/>
  <c r="I6" i="1"/>
  <c r="N6" i="1" s="1"/>
  <c r="I141" i="1"/>
  <c r="I69" i="1"/>
  <c r="I92" i="1"/>
  <c r="I56" i="1"/>
  <c r="I123" i="1"/>
  <c r="I166" i="1"/>
  <c r="I8" i="1"/>
  <c r="N8" i="1" s="1"/>
  <c r="I169" i="1"/>
  <c r="E170" i="4" s="1"/>
  <c r="I37" i="1"/>
  <c r="I84" i="1"/>
  <c r="I156" i="1"/>
  <c r="I119" i="1"/>
  <c r="I31" i="1"/>
  <c r="I160" i="1"/>
  <c r="I11" i="1"/>
  <c r="I162" i="1"/>
  <c r="I85" i="1"/>
  <c r="I4" i="1"/>
  <c r="N4" i="1" s="1"/>
  <c r="I60" i="1"/>
  <c r="I32" i="1"/>
  <c r="N32" i="1" s="1"/>
  <c r="I19" i="1"/>
  <c r="N19" i="1" s="1"/>
  <c r="I121" i="1"/>
  <c r="I64" i="1"/>
  <c r="I151" i="1"/>
  <c r="I70" i="1"/>
  <c r="I77" i="1"/>
  <c r="I122" i="1"/>
  <c r="I34" i="1"/>
  <c r="I18" i="1"/>
  <c r="E18" i="4" s="1"/>
  <c r="I111" i="1"/>
  <c r="E111" i="4" s="1"/>
  <c r="I139" i="1"/>
  <c r="I46" i="1"/>
  <c r="I145" i="1"/>
  <c r="I67" i="1"/>
  <c r="I118" i="1"/>
  <c r="I30" i="1"/>
  <c r="N30" i="1" s="1"/>
  <c r="E153" i="4" l="1"/>
  <c r="E142" i="4"/>
  <c r="E164" i="4"/>
  <c r="E52" i="4"/>
  <c r="H52" i="4" s="1"/>
  <c r="E146" i="4"/>
  <c r="E136" i="4"/>
  <c r="E168" i="4"/>
  <c r="H168" i="4" s="1"/>
  <c r="E155" i="4"/>
  <c r="H155" i="4" s="1"/>
  <c r="E116" i="4"/>
  <c r="H116" i="4" s="1"/>
  <c r="E51" i="4"/>
  <c r="E152" i="4"/>
  <c r="H152" i="4" s="1"/>
  <c r="E163" i="4"/>
  <c r="H163" i="4" s="1"/>
  <c r="E145" i="4"/>
  <c r="E171" i="4"/>
  <c r="E135" i="4"/>
  <c r="I135" i="4" s="1"/>
  <c r="E138" i="4"/>
  <c r="E56" i="4"/>
  <c r="I56" i="4" s="1"/>
  <c r="E128" i="4"/>
  <c r="E156" i="4"/>
  <c r="H156" i="4" s="1"/>
  <c r="E109" i="4"/>
  <c r="I109" i="4" s="1"/>
  <c r="E95" i="4"/>
  <c r="I95" i="4" s="1"/>
  <c r="E73" i="4"/>
  <c r="E134" i="4"/>
  <c r="H134" i="4" s="1"/>
  <c r="E141" i="4"/>
  <c r="I141" i="4" s="1"/>
  <c r="E137" i="4"/>
  <c r="H137" i="4" s="1"/>
  <c r="E159" i="4"/>
  <c r="E133" i="4"/>
  <c r="I133" i="4" s="1"/>
  <c r="E62" i="4"/>
  <c r="H62" i="4" s="1"/>
  <c r="N70" i="1"/>
  <c r="E71" i="4"/>
  <c r="N123" i="1"/>
  <c r="E124" i="4"/>
  <c r="H124" i="4" s="1"/>
  <c r="N103" i="1"/>
  <c r="E104" i="4"/>
  <c r="H104" i="4" s="1"/>
  <c r="I164" i="4"/>
  <c r="H164" i="4"/>
  <c r="N75" i="1"/>
  <c r="E76" i="4"/>
  <c r="N147" i="1"/>
  <c r="E148" i="4"/>
  <c r="N73" i="1"/>
  <c r="E74" i="4"/>
  <c r="H74" i="4" s="1"/>
  <c r="N98" i="1"/>
  <c r="E99" i="4"/>
  <c r="H99" i="4" s="1"/>
  <c r="N63" i="1"/>
  <c r="E64" i="4"/>
  <c r="N40" i="1"/>
  <c r="E40" i="4"/>
  <c r="I40" i="4" s="1"/>
  <c r="N82" i="1"/>
  <c r="E83" i="4"/>
  <c r="H170" i="4"/>
  <c r="I170" i="4"/>
  <c r="N96" i="1"/>
  <c r="E97" i="4"/>
  <c r="N97" i="1"/>
  <c r="E98" i="4"/>
  <c r="I98" i="4" s="1"/>
  <c r="I154" i="4"/>
  <c r="H154" i="4"/>
  <c r="N128" i="1"/>
  <c r="E129" i="4"/>
  <c r="H129" i="4" s="1"/>
  <c r="N54" i="1"/>
  <c r="E55" i="4"/>
  <c r="N125" i="1"/>
  <c r="E126" i="4"/>
  <c r="I126" i="4" s="1"/>
  <c r="N138" i="1"/>
  <c r="E139" i="4"/>
  <c r="N80" i="1"/>
  <c r="E81" i="4"/>
  <c r="I81" i="4" s="1"/>
  <c r="N91" i="1"/>
  <c r="E92" i="4"/>
  <c r="N71" i="1"/>
  <c r="E72" i="4"/>
  <c r="I72" i="4" s="1"/>
  <c r="N81" i="1"/>
  <c r="E82" i="4"/>
  <c r="H171" i="4"/>
  <c r="I171" i="4"/>
  <c r="N105" i="1"/>
  <c r="E106" i="4"/>
  <c r="N53" i="1"/>
  <c r="E54" i="4"/>
  <c r="I54" i="4" s="1"/>
  <c r="N83" i="1"/>
  <c r="E84" i="4"/>
  <c r="N87" i="1"/>
  <c r="E88" i="4"/>
  <c r="I88" i="4" s="1"/>
  <c r="N43" i="1"/>
  <c r="E43" i="4"/>
  <c r="H43" i="4" s="1"/>
  <c r="N49" i="1"/>
  <c r="E50" i="4"/>
  <c r="H50" i="4" s="1"/>
  <c r="N57" i="1"/>
  <c r="E58" i="4"/>
  <c r="I58" i="4" s="1"/>
  <c r="N116" i="1"/>
  <c r="E117" i="4"/>
  <c r="I117" i="4" s="1"/>
  <c r="N107" i="1"/>
  <c r="E108" i="4"/>
  <c r="H172" i="4"/>
  <c r="I172" i="4"/>
  <c r="N159" i="1"/>
  <c r="E160" i="4"/>
  <c r="N131" i="1"/>
  <c r="E132" i="4"/>
  <c r="I132" i="4" s="1"/>
  <c r="N90" i="1"/>
  <c r="E91" i="4"/>
  <c r="H91" i="4" s="1"/>
  <c r="N74" i="1"/>
  <c r="E75" i="4"/>
  <c r="I75" i="4" s="1"/>
  <c r="N46" i="1"/>
  <c r="E46" i="4"/>
  <c r="H46" i="4" s="1"/>
  <c r="I152" i="4"/>
  <c r="N119" i="1"/>
  <c r="E120" i="4"/>
  <c r="N139" i="1"/>
  <c r="E140" i="4"/>
  <c r="I140" i="4" s="1"/>
  <c r="N64" i="1"/>
  <c r="E65" i="4"/>
  <c r="N92" i="1"/>
  <c r="E93" i="4"/>
  <c r="I93" i="4" s="1"/>
  <c r="N68" i="1"/>
  <c r="E69" i="4"/>
  <c r="N99" i="1"/>
  <c r="E100" i="4"/>
  <c r="I100" i="4" s="1"/>
  <c r="N109" i="1"/>
  <c r="E110" i="4"/>
  <c r="N62" i="1"/>
  <c r="E63" i="4"/>
  <c r="I63" i="4" s="1"/>
  <c r="N95" i="1"/>
  <c r="E96" i="4"/>
  <c r="N150" i="1"/>
  <c r="E151" i="4"/>
  <c r="N58" i="1"/>
  <c r="E59" i="4"/>
  <c r="H158" i="4"/>
  <c r="I158" i="4"/>
  <c r="N65" i="1"/>
  <c r="E66" i="4"/>
  <c r="N79" i="1"/>
  <c r="E80" i="4"/>
  <c r="I80" i="4" s="1"/>
  <c r="N113" i="1"/>
  <c r="E114" i="4"/>
  <c r="N165" i="1"/>
  <c r="E166" i="4"/>
  <c r="N130" i="1"/>
  <c r="E131" i="4"/>
  <c r="N101" i="1"/>
  <c r="E102" i="4"/>
  <c r="I102" i="4" s="1"/>
  <c r="N66" i="1"/>
  <c r="E67" i="4"/>
  <c r="I67" i="4" s="1"/>
  <c r="N93" i="1"/>
  <c r="E94" i="4"/>
  <c r="H94" i="4" s="1"/>
  <c r="N44" i="1"/>
  <c r="E44" i="4"/>
  <c r="H44" i="4" s="1"/>
  <c r="N52" i="1"/>
  <c r="E53" i="4"/>
  <c r="H53" i="4" s="1"/>
  <c r="N85" i="1"/>
  <c r="E86" i="4"/>
  <c r="I86" i="4" s="1"/>
  <c r="N48" i="1"/>
  <c r="E48" i="4"/>
  <c r="H48" i="4" s="1"/>
  <c r="N86" i="1"/>
  <c r="E87" i="4"/>
  <c r="H87" i="4" s="1"/>
  <c r="N102" i="1"/>
  <c r="E103" i="4"/>
  <c r="I103" i="4" s="1"/>
  <c r="I153" i="4"/>
  <c r="H153" i="4"/>
  <c r="N126" i="1"/>
  <c r="E127" i="4"/>
  <c r="N59" i="1"/>
  <c r="E60" i="4"/>
  <c r="H60" i="4" s="1"/>
  <c r="N78" i="1"/>
  <c r="E79" i="4"/>
  <c r="I79" i="4" s="1"/>
  <c r="N149" i="1"/>
  <c r="E150" i="4"/>
  <c r="N56" i="1"/>
  <c r="E57" i="4"/>
  <c r="H57" i="4" s="1"/>
  <c r="N118" i="1"/>
  <c r="E119" i="4"/>
  <c r="N122" i="1"/>
  <c r="E123" i="4"/>
  <c r="I123" i="4" s="1"/>
  <c r="N60" i="1"/>
  <c r="E61" i="4"/>
  <c r="N156" i="1"/>
  <c r="E157" i="4"/>
  <c r="N67" i="1"/>
  <c r="E68" i="4"/>
  <c r="N111" i="1"/>
  <c r="E112" i="4"/>
  <c r="I112" i="4" s="1"/>
  <c r="N77" i="1"/>
  <c r="E78" i="4"/>
  <c r="I78" i="4" s="1"/>
  <c r="N121" i="1"/>
  <c r="E122" i="4"/>
  <c r="H122" i="4" s="1"/>
  <c r="N160" i="1"/>
  <c r="E161" i="4"/>
  <c r="N84" i="1"/>
  <c r="E85" i="4"/>
  <c r="I85" i="4" s="1"/>
  <c r="N166" i="1"/>
  <c r="E167" i="4"/>
  <c r="N69" i="1"/>
  <c r="E70" i="4"/>
  <c r="I70" i="4" s="1"/>
  <c r="N168" i="1"/>
  <c r="E169" i="4"/>
  <c r="N117" i="1"/>
  <c r="E118" i="4"/>
  <c r="I118" i="4" s="1"/>
  <c r="N161" i="1"/>
  <c r="E162" i="4"/>
  <c r="N104" i="1"/>
  <c r="E105" i="4"/>
  <c r="I105" i="4" s="1"/>
  <c r="N100" i="1"/>
  <c r="E101" i="4"/>
  <c r="N106" i="1"/>
  <c r="E107" i="4"/>
  <c r="I107" i="4" s="1"/>
  <c r="N143" i="1"/>
  <c r="E144" i="4"/>
  <c r="N164" i="1"/>
  <c r="E165" i="4"/>
  <c r="H159" i="4"/>
  <c r="I159" i="4"/>
  <c r="N146" i="1"/>
  <c r="E147" i="4"/>
  <c r="N76" i="1"/>
  <c r="E77" i="4"/>
  <c r="N112" i="1"/>
  <c r="E113" i="4"/>
  <c r="I113" i="4" s="1"/>
  <c r="N39" i="1"/>
  <c r="E39" i="4"/>
  <c r="N120" i="1"/>
  <c r="E121" i="4"/>
  <c r="I121" i="4" s="1"/>
  <c r="N47" i="1"/>
  <c r="E47" i="4"/>
  <c r="I47" i="4" s="1"/>
  <c r="N148" i="1"/>
  <c r="E149" i="4"/>
  <c r="N129" i="1"/>
  <c r="E130" i="4"/>
  <c r="I130" i="4" s="1"/>
  <c r="N88" i="1"/>
  <c r="E89" i="4"/>
  <c r="I89" i="4" s="1"/>
  <c r="N45" i="1"/>
  <c r="E45" i="4"/>
  <c r="N114" i="1"/>
  <c r="E115" i="4"/>
  <c r="I115" i="4" s="1"/>
  <c r="J108" i="1"/>
  <c r="N108" i="1"/>
  <c r="K94" i="1"/>
  <c r="N94" i="1"/>
  <c r="K72" i="1"/>
  <c r="N72" i="1"/>
  <c r="K42" i="1"/>
  <c r="N42" i="1"/>
  <c r="J61" i="1"/>
  <c r="N61" i="1"/>
  <c r="K41" i="1"/>
  <c r="N41" i="1"/>
  <c r="K115" i="1"/>
  <c r="N115" i="1"/>
  <c r="K51" i="1"/>
  <c r="N51" i="1"/>
  <c r="K55" i="1"/>
  <c r="N55" i="1"/>
  <c r="J51" i="1"/>
  <c r="K49" i="1"/>
  <c r="J115" i="1"/>
  <c r="J49" i="1"/>
  <c r="K52" i="1"/>
  <c r="J52" i="1"/>
  <c r="J55" i="1"/>
  <c r="K114" i="1"/>
  <c r="J114" i="1"/>
  <c r="J42" i="1"/>
  <c r="K61" i="1"/>
  <c r="J72" i="1"/>
  <c r="K74" i="1"/>
  <c r="J74" i="1"/>
  <c r="J94" i="1"/>
  <c r="K82" i="1"/>
  <c r="J82" i="1"/>
  <c r="K44" i="1"/>
  <c r="K43" i="1"/>
  <c r="K110" i="1"/>
  <c r="K45" i="1"/>
  <c r="J41" i="1"/>
  <c r="J43" i="1"/>
  <c r="K89" i="1"/>
  <c r="J44" i="1"/>
  <c r="J45" i="1"/>
  <c r="J87" i="1"/>
  <c r="K87" i="1"/>
  <c r="K88" i="1"/>
  <c r="K108" i="1"/>
  <c r="J88" i="1"/>
  <c r="K90" i="1"/>
  <c r="J90" i="1"/>
  <c r="J129" i="1"/>
  <c r="K129" i="1"/>
  <c r="K137" i="1"/>
  <c r="N137" i="1"/>
  <c r="J137" i="1"/>
  <c r="E5" i="4"/>
  <c r="H5" i="4" s="1"/>
  <c r="K29" i="1"/>
  <c r="N29" i="1"/>
  <c r="K93" i="1"/>
  <c r="N172" i="1"/>
  <c r="E26" i="4"/>
  <c r="I26" i="4" s="1"/>
  <c r="E22" i="4"/>
  <c r="I22" i="4" s="1"/>
  <c r="I69" i="4"/>
  <c r="I108" i="4"/>
  <c r="E23" i="4"/>
  <c r="I23" i="4" s="1"/>
  <c r="I82" i="4"/>
  <c r="I66" i="4"/>
  <c r="E34" i="4"/>
  <c r="I34" i="4" s="1"/>
  <c r="E10" i="4"/>
  <c r="H10" i="4" s="1"/>
  <c r="E27" i="4"/>
  <c r="H27" i="4" s="1"/>
  <c r="E37" i="4"/>
  <c r="H37" i="4" s="1"/>
  <c r="E36" i="4"/>
  <c r="I36" i="4" s="1"/>
  <c r="E28" i="4"/>
  <c r="I28" i="4" s="1"/>
  <c r="I55" i="4"/>
  <c r="H59" i="4"/>
  <c r="E11" i="4"/>
  <c r="I11" i="4" s="1"/>
  <c r="E14" i="4"/>
  <c r="H14" i="4" s="1"/>
  <c r="E30" i="4"/>
  <c r="I30" i="4" s="1"/>
  <c r="E35" i="4"/>
  <c r="H35" i="4" s="1"/>
  <c r="E38" i="4"/>
  <c r="I38" i="4" s="1"/>
  <c r="I68" i="4"/>
  <c r="E12" i="4"/>
  <c r="H12" i="4" s="1"/>
  <c r="I65" i="4"/>
  <c r="E20" i="4"/>
  <c r="I20" i="4" s="1"/>
  <c r="I90" i="4"/>
  <c r="E9" i="4"/>
  <c r="H9" i="4" s="1"/>
  <c r="E8" i="4"/>
  <c r="H8" i="4" s="1"/>
  <c r="E19" i="4"/>
  <c r="I19" i="4" s="1"/>
  <c r="H42" i="4"/>
  <c r="I41" i="4"/>
  <c r="H77" i="4"/>
  <c r="E32" i="4"/>
  <c r="H32" i="4" s="1"/>
  <c r="E29" i="4"/>
  <c r="I29" i="4" s="1"/>
  <c r="J93" i="1"/>
  <c r="J40" i="1"/>
  <c r="K83" i="1"/>
  <c r="J83" i="1"/>
  <c r="K40" i="1"/>
  <c r="K149" i="1"/>
  <c r="J149" i="1"/>
  <c r="N24" i="1"/>
  <c r="J24" i="1"/>
  <c r="J148" i="1"/>
  <c r="K148" i="1"/>
  <c r="J138" i="1"/>
  <c r="J126" i="1"/>
  <c r="J159" i="1"/>
  <c r="J53" i="1"/>
  <c r="I142" i="4"/>
  <c r="H92" i="4"/>
  <c r="J29" i="1"/>
  <c r="J135" i="1"/>
  <c r="J109" i="1"/>
  <c r="K5" i="1"/>
  <c r="J161" i="1"/>
  <c r="K97" i="1"/>
  <c r="J140" i="1"/>
  <c r="K9" i="1"/>
  <c r="J28" i="1"/>
  <c r="J153" i="1"/>
  <c r="J150" i="1"/>
  <c r="K35" i="1"/>
  <c r="J21" i="1"/>
  <c r="J163" i="1"/>
  <c r="J23" i="1"/>
  <c r="J143" i="1"/>
  <c r="J157" i="1"/>
  <c r="J75" i="1"/>
  <c r="J107" i="1"/>
  <c r="J79" i="1"/>
  <c r="J146" i="1"/>
  <c r="J91" i="1"/>
  <c r="J130" i="1"/>
  <c r="J112" i="1"/>
  <c r="J101" i="1"/>
  <c r="J13" i="1"/>
  <c r="J170" i="1"/>
  <c r="J105" i="1"/>
  <c r="J134" i="1"/>
  <c r="N28" i="1"/>
  <c r="N163" i="1"/>
  <c r="J39" i="1"/>
  <c r="J113" i="1"/>
  <c r="N20" i="1"/>
  <c r="J58" i="1"/>
  <c r="K10" i="1"/>
  <c r="N11" i="1"/>
  <c r="I110" i="4"/>
  <c r="I125" i="4"/>
  <c r="I106" i="4"/>
  <c r="N36" i="1"/>
  <c r="I136" i="4"/>
  <c r="J5" i="1"/>
  <c r="H111" i="4"/>
  <c r="J10" i="1"/>
  <c r="J131" i="1"/>
  <c r="N153" i="1"/>
  <c r="J116" i="1"/>
  <c r="I84" i="4"/>
  <c r="K18" i="1"/>
  <c r="K34" i="1"/>
  <c r="K70" i="1"/>
  <c r="J19" i="1"/>
  <c r="J119" i="1"/>
  <c r="J156" i="1"/>
  <c r="K37" i="1"/>
  <c r="K8" i="1"/>
  <c r="J56" i="1"/>
  <c r="J92" i="1"/>
  <c r="J6" i="1"/>
  <c r="J168" i="1"/>
  <c r="J36" i="1"/>
  <c r="J117" i="1"/>
  <c r="K99" i="1"/>
  <c r="J133" i="1"/>
  <c r="N134" i="1"/>
  <c r="N135" i="1"/>
  <c r="N140" i="1"/>
  <c r="N133" i="1"/>
  <c r="J78" i="1"/>
  <c r="N35" i="1"/>
  <c r="H39" i="4"/>
  <c r="N15" i="1"/>
  <c r="N170" i="1"/>
  <c r="N157" i="1"/>
  <c r="N27" i="1"/>
  <c r="E13" i="4"/>
  <c r="H13" i="4" s="1"/>
  <c r="I114" i="4"/>
  <c r="E4" i="4"/>
  <c r="J97" i="1"/>
  <c r="J99" i="1"/>
  <c r="K118" i="1"/>
  <c r="K145" i="1"/>
  <c r="K122" i="1"/>
  <c r="K151" i="1"/>
  <c r="K121" i="1"/>
  <c r="K162" i="1"/>
  <c r="K31" i="1"/>
  <c r="J84" i="1"/>
  <c r="K169" i="1"/>
  <c r="K123" i="1"/>
  <c r="K141" i="1"/>
  <c r="K17" i="1"/>
  <c r="K48" i="1"/>
  <c r="K144" i="1"/>
  <c r="K86" i="1"/>
  <c r="K96" i="1"/>
  <c r="K103" i="1"/>
  <c r="K62" i="1"/>
  <c r="J104" i="1"/>
  <c r="K106" i="1"/>
  <c r="K136" i="1"/>
  <c r="J125" i="1"/>
  <c r="H64" i="4"/>
  <c r="N37" i="1"/>
  <c r="J37" i="1"/>
  <c r="J8" i="1"/>
  <c r="J85" i="1"/>
  <c r="E15" i="4"/>
  <c r="I15" i="4" s="1"/>
  <c r="N34" i="1"/>
  <c r="J139" i="1"/>
  <c r="E17" i="4"/>
  <c r="I17" i="4" s="1"/>
  <c r="I51" i="4"/>
  <c r="K127" i="1"/>
  <c r="K102" i="1"/>
  <c r="K167" i="1"/>
  <c r="K154" i="1"/>
  <c r="K142" i="1"/>
  <c r="K22" i="1"/>
  <c r="K65" i="1"/>
  <c r="K16" i="1"/>
  <c r="K158" i="1"/>
  <c r="K152" i="1"/>
  <c r="K26" i="1"/>
  <c r="J73" i="1"/>
  <c r="J165" i="1"/>
  <c r="K171" i="1"/>
  <c r="K80" i="1"/>
  <c r="K7" i="1"/>
  <c r="K76" i="1"/>
  <c r="K71" i="1"/>
  <c r="K59" i="1"/>
  <c r="J81" i="1"/>
  <c r="K98" i="1"/>
  <c r="K155" i="1"/>
  <c r="K132" i="1"/>
  <c r="K66" i="1"/>
  <c r="K47" i="1"/>
  <c r="K58" i="1"/>
  <c r="K24" i="1"/>
  <c r="K33" i="1"/>
  <c r="K25" i="1"/>
  <c r="K101" i="1"/>
  <c r="K39" i="1"/>
  <c r="K53" i="1"/>
  <c r="K14" i="1"/>
  <c r="J34" i="1"/>
  <c r="E24" i="4"/>
  <c r="I24" i="4" s="1"/>
  <c r="N18" i="1"/>
  <c r="I45" i="4"/>
  <c r="J70" i="1"/>
  <c r="H97" i="4"/>
  <c r="E7" i="4"/>
  <c r="H7" i="4" s="1"/>
  <c r="E31" i="4"/>
  <c r="H31" i="4" s="1"/>
  <c r="E25" i="4"/>
  <c r="H25" i="4" s="1"/>
  <c r="H61" i="4"/>
  <c r="E16" i="4"/>
  <c r="H16" i="4" s="1"/>
  <c r="K63" i="1"/>
  <c r="E33" i="4"/>
  <c r="I33" i="4" s="1"/>
  <c r="J121" i="1"/>
  <c r="N16" i="1"/>
  <c r="E6" i="4"/>
  <c r="H6" i="4" s="1"/>
  <c r="E21" i="4"/>
  <c r="H21" i="4" s="1"/>
  <c r="K67" i="1"/>
  <c r="K111" i="1"/>
  <c r="K77" i="1"/>
  <c r="K4" i="1"/>
  <c r="K160" i="1"/>
  <c r="K84" i="1"/>
  <c r="K166" i="1"/>
  <c r="K69" i="1"/>
  <c r="K68" i="1"/>
  <c r="K15" i="1"/>
  <c r="K57" i="1"/>
  <c r="K104" i="1"/>
  <c r="K100" i="1"/>
  <c r="K128" i="1"/>
  <c r="K54" i="1"/>
  <c r="K125" i="1"/>
  <c r="K164" i="1"/>
  <c r="K147" i="1"/>
  <c r="K165" i="1"/>
  <c r="K38" i="1"/>
  <c r="K81" i="1"/>
  <c r="K27" i="1"/>
  <c r="K172" i="1"/>
  <c r="K120" i="1"/>
  <c r="I73" i="4"/>
  <c r="H127" i="4"/>
  <c r="K60" i="1"/>
  <c r="I139" i="4"/>
  <c r="K73" i="1"/>
  <c r="H71" i="4"/>
  <c r="H101" i="4"/>
  <c r="K139" i="1"/>
  <c r="K85" i="1"/>
  <c r="K119" i="1"/>
  <c r="K168" i="1"/>
  <c r="K117" i="1"/>
  <c r="K133" i="1"/>
  <c r="K135" i="1"/>
  <c r="K140" i="1"/>
  <c r="K116" i="1"/>
  <c r="K153" i="1"/>
  <c r="K163" i="1"/>
  <c r="K157" i="1"/>
  <c r="K138" i="1"/>
  <c r="K79" i="1"/>
  <c r="K113" i="1"/>
  <c r="K126" i="1"/>
  <c r="K159" i="1"/>
  <c r="K170" i="1"/>
  <c r="K78" i="1"/>
  <c r="K134" i="1"/>
  <c r="H83" i="4"/>
  <c r="J95" i="1"/>
  <c r="K95" i="1"/>
  <c r="I49" i="4"/>
  <c r="H76" i="4"/>
  <c r="J152" i="1"/>
  <c r="J136" i="1"/>
  <c r="J62" i="1"/>
  <c r="K30" i="1"/>
  <c r="K46" i="1"/>
  <c r="K64" i="1"/>
  <c r="K19" i="1"/>
  <c r="K32" i="1"/>
  <c r="K11" i="1"/>
  <c r="K156" i="1"/>
  <c r="K56" i="1"/>
  <c r="K92" i="1"/>
  <c r="K6" i="1"/>
  <c r="E6" i="9" s="1"/>
  <c r="K36" i="1"/>
  <c r="K109" i="1"/>
  <c r="K20" i="1"/>
  <c r="K161" i="1"/>
  <c r="K28" i="1"/>
  <c r="K150" i="1"/>
  <c r="K21" i="1"/>
  <c r="K23" i="1"/>
  <c r="K143" i="1"/>
  <c r="K75" i="1"/>
  <c r="K107" i="1"/>
  <c r="K146" i="1"/>
  <c r="K12" i="1"/>
  <c r="K91" i="1"/>
  <c r="K130" i="1"/>
  <c r="K112" i="1"/>
  <c r="K13" i="1"/>
  <c r="K105" i="1"/>
  <c r="K131" i="1"/>
  <c r="J18" i="1"/>
  <c r="J9" i="1"/>
  <c r="J35" i="1"/>
  <c r="J33" i="1"/>
  <c r="J25" i="1"/>
  <c r="J14" i="1"/>
  <c r="J4" i="1"/>
  <c r="J166" i="1"/>
  <c r="I120" i="4"/>
  <c r="J48" i="1"/>
  <c r="J103" i="1"/>
  <c r="J106" i="1"/>
  <c r="N136" i="1"/>
  <c r="J167" i="1"/>
  <c r="N167" i="1"/>
  <c r="N22" i="1"/>
  <c r="J22" i="1"/>
  <c r="N26" i="1"/>
  <c r="J59" i="1"/>
  <c r="J98" i="1"/>
  <c r="J164" i="1"/>
  <c r="J111" i="1"/>
  <c r="J67" i="1"/>
  <c r="J145" i="1"/>
  <c r="J122" i="1"/>
  <c r="J151" i="1"/>
  <c r="N151" i="1"/>
  <c r="J160" i="1"/>
  <c r="J123" i="1"/>
  <c r="J69" i="1"/>
  <c r="J17" i="1"/>
  <c r="N17" i="1"/>
  <c r="I96" i="4"/>
  <c r="J96" i="1"/>
  <c r="I128" i="4"/>
  <c r="J100" i="1"/>
  <c r="J142" i="1"/>
  <c r="I131" i="4"/>
  <c r="J16" i="1"/>
  <c r="J171" i="1"/>
  <c r="J76" i="1"/>
  <c r="J132" i="1"/>
  <c r="N132" i="1"/>
  <c r="J66" i="1"/>
  <c r="J63" i="1"/>
  <c r="N127" i="1"/>
  <c r="N142" i="1"/>
  <c r="J65" i="1"/>
  <c r="J68" i="1"/>
  <c r="J118" i="1"/>
  <c r="J60" i="1"/>
  <c r="J162" i="1"/>
  <c r="N162" i="1"/>
  <c r="N31" i="1"/>
  <c r="J169" i="1"/>
  <c r="N169" i="1"/>
  <c r="N141" i="1"/>
  <c r="N144" i="1"/>
  <c r="J144" i="1"/>
  <c r="J57" i="1"/>
  <c r="J86" i="1"/>
  <c r="J128" i="1"/>
  <c r="J102" i="1"/>
  <c r="N154" i="1"/>
  <c r="J154" i="1"/>
  <c r="J147" i="1"/>
  <c r="N158" i="1"/>
  <c r="J158" i="1"/>
  <c r="J80" i="1"/>
  <c r="I138" i="4"/>
  <c r="J27" i="1"/>
  <c r="J172" i="1"/>
  <c r="N155" i="1"/>
  <c r="J155" i="1"/>
  <c r="J120" i="1"/>
  <c r="I119" i="4"/>
  <c r="J47" i="1"/>
  <c r="N171" i="1"/>
  <c r="N152" i="1"/>
  <c r="N145" i="1"/>
  <c r="J7" i="1"/>
  <c r="J54" i="1"/>
  <c r="J127" i="1"/>
  <c r="J31" i="1"/>
  <c r="J141" i="1"/>
  <c r="J26" i="1"/>
  <c r="J71" i="1"/>
  <c r="J77" i="1"/>
  <c r="J15" i="1"/>
  <c r="J38" i="1"/>
  <c r="J30" i="1"/>
  <c r="J46" i="1"/>
  <c r="J64" i="1"/>
  <c r="J32" i="1"/>
  <c r="J11" i="1"/>
  <c r="J20" i="1"/>
  <c r="D20" i="9" s="1"/>
  <c r="J12" i="1"/>
  <c r="I18" i="4"/>
  <c r="H18" i="4"/>
  <c r="I155" i="4" l="1"/>
  <c r="I168" i="4"/>
  <c r="I163" i="4"/>
  <c r="I156" i="4"/>
  <c r="I149" i="4"/>
  <c r="H149" i="4"/>
  <c r="I148" i="4"/>
  <c r="H148" i="4"/>
  <c r="I165" i="4"/>
  <c r="H165" i="4"/>
  <c r="I157" i="4"/>
  <c r="H157" i="4"/>
  <c r="H150" i="4"/>
  <c r="I150" i="4"/>
  <c r="I166" i="4"/>
  <c r="H166" i="4"/>
  <c r="H151" i="4"/>
  <c r="I151" i="4"/>
  <c r="I162" i="4"/>
  <c r="H162" i="4"/>
  <c r="I169" i="4"/>
  <c r="H169" i="4"/>
  <c r="H167" i="4"/>
  <c r="I167" i="4"/>
  <c r="I161" i="4"/>
  <c r="H161" i="4"/>
  <c r="I160" i="4"/>
  <c r="H160" i="4"/>
  <c r="E7" i="9"/>
  <c r="E5" i="9"/>
  <c r="E8" i="9"/>
  <c r="E9" i="9"/>
  <c r="E4" i="9"/>
  <c r="E30" i="9"/>
  <c r="I5" i="4"/>
  <c r="I104" i="4"/>
  <c r="E10" i="9"/>
  <c r="E29" i="9"/>
  <c r="E22" i="9"/>
  <c r="E34" i="9"/>
  <c r="E27" i="9"/>
  <c r="E19" i="9"/>
  <c r="H67" i="4"/>
  <c r="I57" i="4"/>
  <c r="H26" i="4"/>
  <c r="I27" i="4"/>
  <c r="H66" i="4"/>
  <c r="H28" i="4"/>
  <c r="E35" i="9"/>
  <c r="E12" i="9"/>
  <c r="E14" i="9"/>
  <c r="E26" i="9"/>
  <c r="E11" i="9"/>
  <c r="E24" i="9"/>
  <c r="E18" i="9"/>
  <c r="E31" i="9"/>
  <c r="E13" i="9"/>
  <c r="E32" i="9"/>
  <c r="E20" i="9"/>
  <c r="E28" i="9"/>
  <c r="E15" i="9"/>
  <c r="E25" i="9"/>
  <c r="E36" i="9"/>
  <c r="E23" i="9"/>
  <c r="E21" i="9"/>
  <c r="E16" i="9"/>
  <c r="E33" i="9"/>
  <c r="E17" i="9"/>
  <c r="I37" i="4"/>
  <c r="H102" i="4"/>
  <c r="I91" i="4"/>
  <c r="H69" i="4"/>
  <c r="I62" i="4"/>
  <c r="H47" i="4"/>
  <c r="I59" i="4"/>
  <c r="H70" i="4"/>
  <c r="H65" i="4"/>
  <c r="I52" i="4"/>
  <c r="H41" i="4"/>
  <c r="H78" i="4"/>
  <c r="H29" i="4"/>
  <c r="I122" i="4"/>
  <c r="H98" i="4"/>
  <c r="H107" i="4"/>
  <c r="H108" i="4"/>
  <c r="H22" i="4"/>
  <c r="H54" i="4"/>
  <c r="H11" i="4"/>
  <c r="I14" i="4"/>
  <c r="H100" i="4"/>
  <c r="H86" i="4"/>
  <c r="H75" i="4"/>
  <c r="H23" i="4"/>
  <c r="I10" i="4"/>
  <c r="I9" i="4"/>
  <c r="H19" i="4"/>
  <c r="H90" i="4"/>
  <c r="H82" i="4"/>
  <c r="H34" i="4"/>
  <c r="H38" i="4"/>
  <c r="H63" i="4"/>
  <c r="H20" i="4"/>
  <c r="I77" i="4"/>
  <c r="H56" i="4"/>
  <c r="I46" i="4"/>
  <c r="I32" i="4"/>
  <c r="I42" i="4"/>
  <c r="I35" i="4"/>
  <c r="I74" i="4"/>
  <c r="I12" i="4"/>
  <c r="I8" i="4"/>
  <c r="I124" i="4"/>
  <c r="H55" i="4"/>
  <c r="H30" i="4"/>
  <c r="H36" i="4"/>
  <c r="H79" i="4"/>
  <c r="I43" i="4"/>
  <c r="H68" i="4"/>
  <c r="H58" i="4"/>
  <c r="I94" i="4"/>
  <c r="H113" i="4"/>
  <c r="H133" i="4"/>
  <c r="I111" i="4"/>
  <c r="H142" i="4"/>
  <c r="H140" i="4"/>
  <c r="H123" i="4"/>
  <c r="I92" i="4"/>
  <c r="I116" i="4"/>
  <c r="I13" i="4"/>
  <c r="I39" i="4"/>
  <c r="H106" i="4"/>
  <c r="H93" i="4"/>
  <c r="H84" i="4"/>
  <c r="H125" i="4"/>
  <c r="H103" i="4"/>
  <c r="H135" i="4"/>
  <c r="I134" i="4"/>
  <c r="H118" i="4"/>
  <c r="I60" i="4"/>
  <c r="I44" i="4"/>
  <c r="H130" i="4"/>
  <c r="I83" i="4"/>
  <c r="H89" i="4"/>
  <c r="H115" i="4"/>
  <c r="H121" i="4"/>
  <c r="H110" i="4"/>
  <c r="I99" i="4"/>
  <c r="H136" i="4"/>
  <c r="H114" i="4"/>
  <c r="H95" i="4"/>
  <c r="H109" i="4"/>
  <c r="I127" i="4"/>
  <c r="I76" i="4"/>
  <c r="H17" i="4"/>
  <c r="I64" i="4"/>
  <c r="H117" i="4"/>
  <c r="I48" i="4"/>
  <c r="H51" i="4"/>
  <c r="H15" i="4"/>
  <c r="H105" i="4"/>
  <c r="H112" i="4"/>
  <c r="H72" i="4"/>
  <c r="I7" i="4"/>
  <c r="H85" i="4"/>
  <c r="H45" i="4"/>
  <c r="H24" i="4"/>
  <c r="H141" i="4"/>
  <c r="I16" i="4"/>
  <c r="I21" i="4"/>
  <c r="H40" i="4"/>
  <c r="H132" i="4"/>
  <c r="I137" i="4"/>
  <c r="H80" i="4"/>
  <c r="H138" i="4"/>
  <c r="I25" i="4"/>
  <c r="H120" i="4"/>
  <c r="H131" i="4"/>
  <c r="H88" i="4"/>
  <c r="I97" i="4"/>
  <c r="I50" i="4"/>
  <c r="I101" i="4"/>
  <c r="I31" i="4"/>
  <c r="I53" i="4"/>
  <c r="H128" i="4"/>
  <c r="I61" i="4"/>
  <c r="I6" i="4"/>
  <c r="I87" i="4"/>
  <c r="H33" i="4"/>
  <c r="I71" i="4"/>
  <c r="I144" i="4"/>
  <c r="H144" i="4"/>
  <c r="H81" i="4"/>
  <c r="H126" i="4"/>
  <c r="H139" i="4"/>
  <c r="H49" i="4"/>
  <c r="H146" i="4"/>
  <c r="I146" i="4"/>
  <c r="H73" i="4"/>
  <c r="H143" i="4"/>
  <c r="I143" i="4"/>
  <c r="H147" i="4"/>
  <c r="I147" i="4"/>
  <c r="H96" i="4"/>
  <c r="H119" i="4"/>
  <c r="I129" i="4"/>
  <c r="H145" i="4"/>
  <c r="I145" i="4"/>
  <c r="I3" i="9" l="1"/>
  <c r="H5" i="9"/>
  <c r="I5" i="9"/>
  <c r="H3" i="9"/>
  <c r="I4" i="9"/>
  <c r="H4" i="9"/>
  <c r="H7" i="9" l="1"/>
  <c r="I7" i="9"/>
  <c r="C4" i="4"/>
  <c r="H4" i="4" l="1"/>
  <c r="I4" i="4"/>
</calcChain>
</file>

<file path=xl/comments1.xml><?xml version="1.0" encoding="utf-8"?>
<comments xmlns="http://schemas.openxmlformats.org/spreadsheetml/2006/main">
  <authors>
    <author>0785284698</author>
  </authors>
  <commentList>
    <comment ref="E146" authorId="0" shapeId="0">
      <text>
        <r>
          <rPr>
            <b/>
            <sz val="9"/>
            <color indexed="81"/>
            <rFont val="Tahoma"/>
            <family val="2"/>
          </rPr>
          <t xml:space="preserve">In Metres
</t>
        </r>
      </text>
    </comment>
    <comment ref="H146" authorId="0" shapeId="0">
      <text>
        <r>
          <rPr>
            <b/>
            <sz val="9"/>
            <color indexed="81"/>
            <rFont val="Tahoma"/>
            <family val="2"/>
          </rPr>
          <t>In Metres</t>
        </r>
      </text>
    </comment>
  </commentList>
</comments>
</file>

<file path=xl/sharedStrings.xml><?xml version="1.0" encoding="utf-8"?>
<sst xmlns="http://schemas.openxmlformats.org/spreadsheetml/2006/main" count="1543" uniqueCount="294">
  <si>
    <t>Item Description</t>
  </si>
  <si>
    <t>Unit of Issue</t>
  </si>
  <si>
    <t>Opening S5 Bin Card Bal.</t>
  </si>
  <si>
    <t>Opening Physical Stock Count.</t>
  </si>
  <si>
    <t>Physical Stock Bal.</t>
  </si>
  <si>
    <t>Qty. Deficit</t>
  </si>
  <si>
    <t>Qty. Surplus</t>
  </si>
  <si>
    <t>Reorder Quantity</t>
  </si>
  <si>
    <t>Reorder Levels</t>
  </si>
  <si>
    <t>Remarks</t>
  </si>
  <si>
    <t>RM</t>
  </si>
  <si>
    <t>NO</t>
  </si>
  <si>
    <t>PAC</t>
  </si>
  <si>
    <t>PKT</t>
  </si>
  <si>
    <t>PCS</t>
  </si>
  <si>
    <t>ROLL</t>
  </si>
  <si>
    <t>EA</t>
  </si>
  <si>
    <t>Date</t>
  </si>
  <si>
    <t>Type</t>
  </si>
  <si>
    <t>Issue</t>
  </si>
  <si>
    <t>Receipt</t>
  </si>
  <si>
    <t>Loaned</t>
  </si>
  <si>
    <t>Material No</t>
  </si>
  <si>
    <t>Department</t>
  </si>
  <si>
    <t>Document No</t>
  </si>
  <si>
    <t>TUBE</t>
  </si>
  <si>
    <t>Bin Card Balance</t>
  </si>
  <si>
    <t>In&amp;Out Qty</t>
  </si>
  <si>
    <t>Running Balance</t>
  </si>
  <si>
    <t>INVENTORY IN&amp;OUT SCHEDULE</t>
  </si>
  <si>
    <t>MONTH</t>
  </si>
  <si>
    <t>TOTAL ISSUED</t>
  </si>
  <si>
    <t>TOTAL RECEIVED</t>
  </si>
  <si>
    <t>April</t>
  </si>
  <si>
    <t>May</t>
  </si>
  <si>
    <t>June</t>
  </si>
  <si>
    <t>INVENTORY ANALYSIS 2024</t>
  </si>
  <si>
    <t>July</t>
  </si>
  <si>
    <t>August</t>
  </si>
  <si>
    <t>September</t>
  </si>
  <si>
    <t>October</t>
  </si>
  <si>
    <t>November</t>
  </si>
  <si>
    <t>December</t>
  </si>
  <si>
    <t>TOTAL LOANED</t>
  </si>
  <si>
    <t xml:space="preserve"> </t>
  </si>
  <si>
    <t>Tissue Papers</t>
  </si>
  <si>
    <t>Administration Folders</t>
  </si>
  <si>
    <t>Age Benefit Folders</t>
  </si>
  <si>
    <t>App. For Employer SF/001</t>
  </si>
  <si>
    <t>Ben. App. Forms SF/001</t>
  </si>
  <si>
    <t>Claim Confirmation SF/D/005</t>
  </si>
  <si>
    <t>Dummy B Certificate</t>
  </si>
  <si>
    <t>Confidential Folders Pink</t>
  </si>
  <si>
    <t>Empty Cartons</t>
  </si>
  <si>
    <t>Envelopes A4</t>
  </si>
  <si>
    <t>A3 Security Envelopes</t>
  </si>
  <si>
    <t>Envelopes A3 (16*12) White</t>
  </si>
  <si>
    <t>Envelopes A5</t>
  </si>
  <si>
    <t>Emigration Benefit Folders</t>
  </si>
  <si>
    <t>Fingerprint Forms SF/003</t>
  </si>
  <si>
    <t>Funeral Grant Forms 006</t>
  </si>
  <si>
    <t>Finance Account Folders</t>
  </si>
  <si>
    <t>Invalidity Ben. Forms/002</t>
  </si>
  <si>
    <t>Invalidity Ben. Folders</t>
  </si>
  <si>
    <t>Laminating Pouches</t>
  </si>
  <si>
    <t>Membership Cards (Blank)</t>
  </si>
  <si>
    <t>Employee Registration 003</t>
  </si>
  <si>
    <t>Verification of Claim SF 87</t>
  </si>
  <si>
    <t>Unsound Mind DF/007</t>
  </si>
  <si>
    <t>Plastic Bags A4</t>
  </si>
  <si>
    <t>Plastic Bags A3</t>
  </si>
  <si>
    <t>Registration Gen. Folders</t>
  </si>
  <si>
    <t>Union Medical Cover Folders</t>
  </si>
  <si>
    <t>SF/219 Forms</t>
  </si>
  <si>
    <t>Withdrawal Ben. Folders</t>
  </si>
  <si>
    <t>1 Part Statement Paper</t>
  </si>
  <si>
    <t>2 PP NCR Carbonated</t>
  </si>
  <si>
    <t>Epson Ribbon 2180</t>
  </si>
  <si>
    <t>Epson EB Projector/amp</t>
  </si>
  <si>
    <t>Epson Ribbon LX 300 (8750)</t>
  </si>
  <si>
    <t>Epson DFX 9000</t>
  </si>
  <si>
    <t>Epson Ribbon LQ 690 (Black)</t>
  </si>
  <si>
    <t>Epson Ribbon LX 2090 FX</t>
  </si>
  <si>
    <t>HP Laserjet Tonner 237A Black</t>
  </si>
  <si>
    <t>HP Laserjet Tonner 130A (Magenta)</t>
  </si>
  <si>
    <t>HP Laserjet Tonner CF 541A (Cyan)</t>
  </si>
  <si>
    <t>HP Laserjet Tonner CF 226A</t>
  </si>
  <si>
    <t>HP Laserjet Tonner CF 540A (Black)</t>
  </si>
  <si>
    <t xml:space="preserve">HP Laserjet Tonner CF 287A </t>
  </si>
  <si>
    <t>HP Laserjet Tonner 130A (Yellow)</t>
  </si>
  <si>
    <t>HP Laserjet Tonner 402A (Yellow)</t>
  </si>
  <si>
    <t>HP Laserjet Tonner 400A (Black)</t>
  </si>
  <si>
    <t xml:space="preserve">HP Laserjet Tonner 130A (Cyan) </t>
  </si>
  <si>
    <t xml:space="preserve">HP Laserjet Tonner 130A (Black) </t>
  </si>
  <si>
    <t xml:space="preserve">HP Laserjet Tonner 543A (Magenta) </t>
  </si>
  <si>
    <t xml:space="preserve">HP Laserjet Tonner 4000T CF4127X (4050N) </t>
  </si>
  <si>
    <t>Toner HP 59A Black (259A)</t>
  </si>
  <si>
    <t>Tonner Kyocera 4053A (Magenta) 8517m</t>
  </si>
  <si>
    <t xml:space="preserve">Tonner CE 390A </t>
  </si>
  <si>
    <t>Tonner 8515TK (Yellow) 5053</t>
  </si>
  <si>
    <t>Tonner 8515TK (Magenta) 5053</t>
  </si>
  <si>
    <t>Tonner TK 8517 KC (Black) 4053</t>
  </si>
  <si>
    <t xml:space="preserve">Tonner Kyocera TK 8517C (Cyan) </t>
  </si>
  <si>
    <t>CF 280A Black Laserjet</t>
  </si>
  <si>
    <t>Laserjet 4250Q 5942A</t>
  </si>
  <si>
    <t xml:space="preserve">Tally Ribbon </t>
  </si>
  <si>
    <t>Tonner CE 255A (Black)</t>
  </si>
  <si>
    <t>Tonner Laserjet 1300</t>
  </si>
  <si>
    <t>Tonner Laserjet 2550 LQ 3973A (Magenta)</t>
  </si>
  <si>
    <t>Air Freshener</t>
  </si>
  <si>
    <t>Bar Soaps</t>
  </si>
  <si>
    <t>4-Way Extension Socket</t>
  </si>
  <si>
    <t>Single Socket</t>
  </si>
  <si>
    <t>40 Amp Tap of Unit</t>
  </si>
  <si>
    <t>Blower</t>
  </si>
  <si>
    <t>Chokes 4/6/8</t>
  </si>
  <si>
    <t>Disposable Gloves</t>
  </si>
  <si>
    <t>Door Closer</t>
  </si>
  <si>
    <t>Data Cabinet</t>
  </si>
  <si>
    <t>Duster Washing Pads</t>
  </si>
  <si>
    <t>Aluminium Door Locks</t>
  </si>
  <si>
    <t>Flash Handles</t>
  </si>
  <si>
    <t>2-feet LED Tubes</t>
  </si>
  <si>
    <t>2-feet Flourescent Tubes</t>
  </si>
  <si>
    <t>4-feet LED Tubes</t>
  </si>
  <si>
    <t>4-feet Flourescent Tubes</t>
  </si>
  <si>
    <t>5-feet Flourescent Fittings</t>
  </si>
  <si>
    <t>5-feet Flourescent Tubes</t>
  </si>
  <si>
    <t>PL 9 Flourescent Tubes</t>
  </si>
  <si>
    <t>Floor Dusters</t>
  </si>
  <si>
    <t>Hand Gloves</t>
  </si>
  <si>
    <t>Harpic</t>
  </si>
  <si>
    <t>Hand Drier</t>
  </si>
  <si>
    <t>Mortice Locks (Union)</t>
  </si>
  <si>
    <t>Mutton Cloth</t>
  </si>
  <si>
    <t>Mop Dusters</t>
  </si>
  <si>
    <t>S-2 Starters</t>
  </si>
  <si>
    <t>Super Brites</t>
  </si>
  <si>
    <t>Snapper Frames</t>
  </si>
  <si>
    <t>Window Cleaner</t>
  </si>
  <si>
    <t>Twin Sockets</t>
  </si>
  <si>
    <t>40 Watts Chokes</t>
  </si>
  <si>
    <t>65 Watts Chokes</t>
  </si>
  <si>
    <t>20 Watts Chokes</t>
  </si>
  <si>
    <t>2.5 mm PVC Single Core Cable</t>
  </si>
  <si>
    <t>Vim Powder</t>
  </si>
  <si>
    <t>Toilet Brushes</t>
  </si>
  <si>
    <t>January</t>
  </si>
  <si>
    <t>February</t>
  </si>
  <si>
    <t>March</t>
  </si>
  <si>
    <t>1 Part Plain Paper 9(1/2) * 11</t>
  </si>
  <si>
    <t xml:space="preserve">HP Laserjet 4600N Tonner (9721A) Blue </t>
  </si>
  <si>
    <t xml:space="preserve">HP Laserjet 4600N Tonner (9720A) Black </t>
  </si>
  <si>
    <t>HP Laserjet 4600N Tonner (9723A) (Magenta)</t>
  </si>
  <si>
    <t xml:space="preserve">HP Laserjet Tonner (9722A) Yellow </t>
  </si>
  <si>
    <t>HP Laserjet Tonner 2550 Q3964A (Color)</t>
  </si>
  <si>
    <t>Lex Mark C920 Ribbon Magenta</t>
  </si>
  <si>
    <t>Lex Mark  C920 Ribbon Black</t>
  </si>
  <si>
    <t>Lex Mark C920 Yellow</t>
  </si>
  <si>
    <t xml:space="preserve">HP Laserjet Tonner 2550L Q3960A  </t>
  </si>
  <si>
    <t>Kyocera Ecosys 3060-9X4BO47</t>
  </si>
  <si>
    <t>Toner HP 2612 A Black-HP3015</t>
  </si>
  <si>
    <t xml:space="preserve">HP Laserjet Tonner C920 Cyan </t>
  </si>
  <si>
    <t>Toner Cartridge HP C8543X (9040N)</t>
  </si>
  <si>
    <t>HP Laserjet Tonner CE 505A Black for L J 2055</t>
  </si>
  <si>
    <t>Tonner CE 401A (Cyan)</t>
  </si>
  <si>
    <t>Tonner Laserjet 1320 (5949A)</t>
  </si>
  <si>
    <t>Tonner DLQ 3500 (Black) SO 15066</t>
  </si>
  <si>
    <t>Oki ML 4410 Ribbon Dot Matrix</t>
  </si>
  <si>
    <t>Tonner Laserjet HD 7115A (1200)</t>
  </si>
  <si>
    <t>Unit Of Issue</t>
  </si>
  <si>
    <t>Quantity</t>
  </si>
  <si>
    <t>Current Inventory</t>
  </si>
  <si>
    <t>Inventory Status</t>
  </si>
  <si>
    <t>In Stock</t>
  </si>
  <si>
    <t>Out of Stock</t>
  </si>
  <si>
    <t>App. For Personal Exemption Forms</t>
  </si>
  <si>
    <t>Row Labels</t>
  </si>
  <si>
    <t>Grand Total</t>
  </si>
  <si>
    <t>(All)</t>
  </si>
  <si>
    <t>Sum of In&amp;Out Qty</t>
  </si>
  <si>
    <t>Average of In&amp;Out Qty</t>
  </si>
  <si>
    <t>Max of In&amp;Out Qty</t>
  </si>
  <si>
    <t>Min of In&amp;Out Qty</t>
  </si>
  <si>
    <t>Min of In&amp;Out Qty(%)</t>
  </si>
  <si>
    <t>Sum of In&amp;Out Qty(%)</t>
  </si>
  <si>
    <t>STOCK CONTROL SHEET FOR STATIONERY|SF|COMPUTER &amp; MAINTENANCE STORE</t>
  </si>
  <si>
    <t>Quantity Deficit</t>
  </si>
  <si>
    <t>Quantity Surplus</t>
  </si>
  <si>
    <t>SF STORE</t>
  </si>
  <si>
    <t>COMPUTER STORE</t>
  </si>
  <si>
    <t>MAINTENANCE STORE</t>
  </si>
  <si>
    <t>VALUE OF DEFICIENCIES &amp; SURPLUS</t>
  </si>
  <si>
    <t>Store</t>
  </si>
  <si>
    <t>Value of Deficiency</t>
  </si>
  <si>
    <t>Value of Surplus</t>
  </si>
  <si>
    <t>SF</t>
  </si>
  <si>
    <t>Computer</t>
  </si>
  <si>
    <t>Maintenance</t>
  </si>
  <si>
    <t>RESPECTIVE DAILY STORE PERFOMANCE</t>
  </si>
  <si>
    <t>Sum of Value of Deficiency</t>
  </si>
  <si>
    <t>Sum of Value of Surplus</t>
  </si>
  <si>
    <t>Total</t>
  </si>
  <si>
    <t>Survivor Ben. Form</t>
  </si>
  <si>
    <t>Liquid Detergent</t>
  </si>
  <si>
    <t>Tonner Kit TK-8525 (Magenta)</t>
  </si>
  <si>
    <t>Toilet Seat Covers</t>
  </si>
  <si>
    <t>PAIRS</t>
  </si>
  <si>
    <t>PVC Trunking</t>
  </si>
  <si>
    <t>Pledge Spray</t>
  </si>
  <si>
    <t>Schedule of Contribution</t>
  </si>
  <si>
    <t>Toner Hp Laserjet CF281A</t>
  </si>
  <si>
    <t>Epson DFX 5000 Ribbon(8766)</t>
  </si>
  <si>
    <t>Tonner Laser Jet 2550 LQ 3971A</t>
  </si>
  <si>
    <t>Tonner Kyocera TK 8517Y (Yellow) 4053</t>
  </si>
  <si>
    <t>Payment of Benefit Forms/004</t>
  </si>
  <si>
    <t xml:space="preserve">HP Laserjet Tonner 3972 A (Yellow) </t>
  </si>
  <si>
    <t>FINANCE</t>
  </si>
  <si>
    <t>QUARTERLY FORTNIGHT REPORT FOR SF, COMPUTER &amp; MAINTENANCE STORES</t>
  </si>
  <si>
    <t>Survivor Benefit Folders</t>
  </si>
  <si>
    <t>(blank)</t>
  </si>
  <si>
    <t>Conduit 32mm Flexible Wire</t>
  </si>
  <si>
    <t>Slim Switch 10 Amps</t>
  </si>
  <si>
    <t>PL-36 Tubes</t>
  </si>
  <si>
    <t>4-80 Watts Starters</t>
  </si>
  <si>
    <t>13 Amps Top Plug</t>
  </si>
  <si>
    <t>Deadlock Double Cylinder</t>
  </si>
  <si>
    <t>Tonner HPCE 401A (Magenta)</t>
  </si>
  <si>
    <t>Tonner 8515K (Black) 5053</t>
  </si>
  <si>
    <t>Tonner TK 8515 (Cyan) 5053</t>
  </si>
  <si>
    <t>HP Laserjet Tonner 230A (BLACK)</t>
  </si>
  <si>
    <t>HP Laserjet Tonner 230A (Magenta)</t>
  </si>
  <si>
    <t>HP Laserjet Tonner 230A (Yellow)</t>
  </si>
  <si>
    <t>HP Laserjet Tonner 230A (Cyan)</t>
  </si>
  <si>
    <t>Laserjet Tonner 7553A (2015D)</t>
  </si>
  <si>
    <t>TPS Receipts</t>
  </si>
  <si>
    <t>Tonner Laserjet 210A Cyan</t>
  </si>
  <si>
    <t>Tonner Laserjet CF350A Black</t>
  </si>
  <si>
    <t>Tonner Laserjet CF350A Yellow</t>
  </si>
  <si>
    <t>Tonner Laserjet CF350A Cyan</t>
  </si>
  <si>
    <t>Tonner Laserjet CF350A Magenta</t>
  </si>
  <si>
    <t>HP Laserjet Tonner Q 3972A Magenta</t>
  </si>
  <si>
    <t>Epson Ribbon LQ 590</t>
  </si>
  <si>
    <t>HP Laserjet 4600N Tonner (9723A) (Cyan)</t>
  </si>
  <si>
    <t>HP Laserjet 4600N Tonner (9721A) Cyan</t>
  </si>
  <si>
    <t>HP Laserjet 4600N Tonner (9720A) Yellow</t>
  </si>
  <si>
    <t>Epson Ribbon ERC 31P</t>
  </si>
  <si>
    <t>Epson Ribbon DLQ 3500</t>
  </si>
  <si>
    <t>Epson Ribbon LQ 660/670</t>
  </si>
  <si>
    <t>Tally Ribbon T2130</t>
  </si>
  <si>
    <t>Epson Ribbon(8766)</t>
  </si>
  <si>
    <t>Epson Ribbon 2190</t>
  </si>
  <si>
    <t>Epson Ribbon LQ 675KT</t>
  </si>
  <si>
    <t>KIAMBU</t>
  </si>
  <si>
    <t>KAKAMEGA</t>
  </si>
  <si>
    <t>ELDORET</t>
  </si>
  <si>
    <t>MOMBASA</t>
  </si>
  <si>
    <t>CITY CENTRE</t>
  </si>
  <si>
    <t>MTWAPA</t>
  </si>
  <si>
    <t>HOMABAY</t>
  </si>
  <si>
    <t>KITENGELA</t>
  </si>
  <si>
    <t>STRATEGY &amp; CHANGE</t>
  </si>
  <si>
    <t>THIKA</t>
  </si>
  <si>
    <t>REGISTRATION &amp; COMPLIANCE</t>
  </si>
  <si>
    <t>GM HR/ADM</t>
  </si>
  <si>
    <t>HUMAN CAPITAL/HR</t>
  </si>
  <si>
    <t>HR TALENT ACQUISITION</t>
  </si>
  <si>
    <t>PROPERTY DEVELOPMENT</t>
  </si>
  <si>
    <t>ETHICS &amp; INTEGRITY</t>
  </si>
  <si>
    <t>PROPERTY MANAGEMENT</t>
  </si>
  <si>
    <t>INVESTMENTS</t>
  </si>
  <si>
    <t>UKUNDA</t>
  </si>
  <si>
    <t>EASTLEIGH</t>
  </si>
  <si>
    <t>INDUSTRIAL AREA</t>
  </si>
  <si>
    <t>MACHAKOS</t>
  </si>
  <si>
    <t>WESTLANDS</t>
  </si>
  <si>
    <t>DONHOLM</t>
  </si>
  <si>
    <t>ADMINISTRATION</t>
  </si>
  <si>
    <t>NAKURU</t>
  </si>
  <si>
    <t>HILL BRANCH</t>
  </si>
  <si>
    <t>KITUI</t>
  </si>
  <si>
    <t>MEMBER RECORDS</t>
  </si>
  <si>
    <t>RISK MANAGEMENT</t>
  </si>
  <si>
    <t/>
  </si>
  <si>
    <t>COMPUTER STORE REPORT</t>
  </si>
  <si>
    <t>SUPPLY CHAIN DEPARTMENT</t>
  </si>
  <si>
    <t>MAINTENANCE STORE REPORT</t>
  </si>
  <si>
    <t>SF STORE REPORT</t>
  </si>
  <si>
    <t>ISIOLO</t>
  </si>
  <si>
    <t>NAROK</t>
  </si>
  <si>
    <t>Column Labels</t>
  </si>
  <si>
    <t>STORE</t>
  </si>
  <si>
    <t>PRIMARY STOCK CONTROL DATA FOR THREE STORES</t>
  </si>
  <si>
    <t>LIVE TRACKING UPDATE OF STOCK STATUS PER STORE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</si>
</sst>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F800]dddd\,\ mmmm\ dd\,\ yyyy"/>
  </numFmts>
  <fonts count="25" x14ac:knownFonts="1">
    <font>
      <sz val="11"/>
      <color theme="1"/>
      <name val="Calibri"/>
      <family val="2"/>
      <scheme val="minor"/>
    </font>
    <font>
      <sz val="11"/>
      <color rgb="FF006100"/>
      <name val="Calibri"/>
      <family val="2"/>
      <scheme val="minor"/>
    </font>
    <font>
      <b/>
      <sz val="11"/>
      <color theme="1"/>
      <name val="Calibri"/>
      <family val="2"/>
      <scheme val="minor"/>
    </font>
    <font>
      <sz val="11"/>
      <color theme="2"/>
      <name val="Calibri"/>
      <family val="2"/>
      <scheme val="minor"/>
    </font>
    <font>
      <b/>
      <sz val="14"/>
      <color theme="0"/>
      <name val="Calibri"/>
      <family val="2"/>
      <scheme val="minor"/>
    </font>
    <font>
      <b/>
      <sz val="11"/>
      <color theme="0"/>
      <name val="Calibri"/>
      <family val="2"/>
      <scheme val="minor"/>
    </font>
    <font>
      <b/>
      <sz val="22"/>
      <color theme="0"/>
      <name val="Calibri"/>
      <family val="2"/>
      <scheme val="minor"/>
    </font>
    <font>
      <sz val="11"/>
      <color theme="0"/>
      <name val="Calibri"/>
      <family val="2"/>
      <scheme val="minor"/>
    </font>
    <font>
      <sz val="8"/>
      <name val="Calibri"/>
      <family val="2"/>
      <scheme val="minor"/>
    </font>
    <font>
      <b/>
      <sz val="9"/>
      <color indexed="81"/>
      <name val="Tahoma"/>
      <family val="2"/>
    </font>
    <font>
      <sz val="12"/>
      <color theme="1"/>
      <name val="Calibri"/>
      <family val="2"/>
      <scheme val="minor"/>
    </font>
    <font>
      <b/>
      <sz val="12"/>
      <color theme="1"/>
      <name val="Calibri"/>
      <family val="2"/>
      <scheme val="minor"/>
    </font>
    <font>
      <b/>
      <sz val="14"/>
      <color theme="1"/>
      <name val="Calibri"/>
      <family val="2"/>
      <scheme val="minor"/>
    </font>
    <font>
      <sz val="14"/>
      <color rgb="FFFFFF00"/>
      <name val="Calibri"/>
      <family val="2"/>
      <scheme val="minor"/>
    </font>
    <font>
      <sz val="11"/>
      <color theme="5"/>
      <name val="Calibri"/>
      <family val="2"/>
      <scheme val="minor"/>
    </font>
    <font>
      <b/>
      <sz val="11"/>
      <color theme="1"/>
      <name val="Calibri"/>
      <family val="2"/>
      <scheme val="minor"/>
    </font>
    <font>
      <sz val="11"/>
      <color theme="1"/>
      <name val="Calibri"/>
      <family val="2"/>
      <scheme val="minor"/>
    </font>
    <font>
      <sz val="11"/>
      <color rgb="FF006100"/>
      <name val="Calibri"/>
      <family val="2"/>
      <scheme val="minor"/>
    </font>
    <font>
      <sz val="11"/>
      <color theme="1"/>
      <name val="Calibri"/>
      <family val="2"/>
    </font>
    <font>
      <sz val="12"/>
      <color theme="0"/>
      <name val="Calibri"/>
      <family val="2"/>
      <scheme val="minor"/>
    </font>
    <font>
      <b/>
      <sz val="16"/>
      <color theme="1"/>
      <name val="Calibri"/>
      <family val="2"/>
      <scheme val="minor"/>
    </font>
    <font>
      <b/>
      <sz val="28"/>
      <color theme="1"/>
      <name val="Calibri"/>
      <family val="2"/>
      <scheme val="minor"/>
    </font>
    <font>
      <b/>
      <sz val="36"/>
      <color theme="1"/>
      <name val="Calibri"/>
      <family val="2"/>
      <scheme val="minor"/>
    </font>
    <font>
      <b/>
      <sz val="48"/>
      <color theme="1"/>
      <name val="Calibri"/>
      <family val="2"/>
      <scheme val="minor"/>
    </font>
    <font>
      <sz val="48"/>
      <color theme="1"/>
      <name val="Calibri"/>
      <family val="2"/>
      <scheme val="minor"/>
    </font>
  </fonts>
  <fills count="26">
    <fill>
      <patternFill patternType="none"/>
    </fill>
    <fill>
      <patternFill patternType="gray125"/>
    </fill>
    <fill>
      <patternFill patternType="solid">
        <fgColor rgb="FFC6EFCE"/>
      </patternFill>
    </fill>
    <fill>
      <patternFill patternType="solid">
        <fgColor theme="1"/>
        <bgColor indexed="64"/>
      </patternFill>
    </fill>
    <fill>
      <patternFill patternType="solid">
        <fgColor theme="9"/>
        <bgColor indexed="64"/>
      </patternFill>
    </fill>
    <fill>
      <patternFill patternType="solid">
        <fgColor theme="9" tint="0.59999389629810485"/>
        <bgColor indexed="64"/>
      </patternFill>
    </fill>
    <fill>
      <gradientFill degree="90">
        <stop position="0">
          <color theme="9" tint="-0.25098422193060094"/>
        </stop>
        <stop position="0.5">
          <color theme="7" tint="-0.25098422193060094"/>
        </stop>
        <stop position="1">
          <color theme="9" tint="-0.25098422193060094"/>
        </stop>
      </gradientFill>
    </fill>
    <fill>
      <gradientFill type="path" left="1" right="1" top="1" bottom="1">
        <stop position="0">
          <color theme="7" tint="-0.25098422193060094"/>
        </stop>
        <stop position="1">
          <color theme="9" tint="-0.25098422193060094"/>
        </stop>
      </gradientFill>
    </fill>
    <fill>
      <gradientFill degree="45">
        <stop position="0">
          <color theme="9" tint="-0.25098422193060094"/>
        </stop>
        <stop position="0.5">
          <color theme="7" tint="-0.25098422193060094"/>
        </stop>
        <stop position="1">
          <color theme="9" tint="-0.25098422193060094"/>
        </stop>
      </gradientFill>
    </fill>
    <fill>
      <patternFill patternType="solid">
        <fgColor theme="3"/>
        <bgColor indexed="64"/>
      </patternFill>
    </fill>
    <fill>
      <patternFill patternType="solid">
        <fgColor theme="5"/>
        <bgColor indexed="64"/>
      </patternFill>
    </fill>
    <fill>
      <patternFill patternType="solid">
        <fgColor theme="2"/>
        <bgColor indexed="64"/>
      </patternFill>
    </fill>
    <fill>
      <patternFill patternType="solid">
        <fgColor theme="0" tint="-0.499984740745262"/>
        <bgColor indexed="64"/>
      </patternFill>
    </fill>
    <fill>
      <patternFill patternType="solid">
        <fgColor theme="0"/>
        <bgColor theme="5" tint="0.59999389629810485"/>
      </patternFill>
    </fill>
    <fill>
      <patternFill patternType="solid">
        <fgColor theme="3" tint="0.39997558519241921"/>
        <bgColor indexed="64"/>
      </patternFill>
    </fill>
    <fill>
      <patternFill patternType="solid">
        <fgColor theme="3" tint="-0.499984740745262"/>
        <bgColor indexed="64"/>
      </patternFill>
    </fill>
    <fill>
      <patternFill patternType="solid">
        <fgColor theme="0" tint="-0.14999847407452621"/>
        <bgColor theme="0" tint="-0.14999847407452621"/>
      </patternFill>
    </fill>
    <fill>
      <patternFill patternType="solid">
        <fgColor theme="4" tint="0.79998168889431442"/>
        <bgColor theme="4" tint="0.79998168889431442"/>
      </patternFill>
    </fill>
    <fill>
      <patternFill patternType="solid">
        <fgColor theme="7" tint="-0.249977111117893"/>
        <bgColor indexed="64"/>
      </patternFill>
    </fill>
    <fill>
      <patternFill patternType="solid">
        <fgColor theme="7" tint="0.39997558519241921"/>
        <bgColor indexed="64"/>
      </patternFill>
    </fill>
    <fill>
      <patternFill patternType="solid">
        <fgColor theme="6"/>
        <bgColor indexed="64"/>
      </patternFill>
    </fill>
    <fill>
      <patternFill patternType="solid">
        <fgColor theme="9" tint="-0.249977111117893"/>
        <bgColor indexed="64"/>
      </patternFill>
    </fill>
    <fill>
      <patternFill patternType="solid">
        <fgColor theme="8" tint="0.39997558519241921"/>
        <bgColor indexed="64"/>
      </patternFill>
    </fill>
    <fill>
      <patternFill patternType="solid">
        <fgColor rgb="FF0070C0"/>
        <bgColor indexed="64"/>
      </patternFill>
    </fill>
    <fill>
      <patternFill patternType="solid">
        <fgColor theme="8" tint="0.39997558519241921"/>
        <bgColor theme="0" tint="-0.14999847407452621"/>
      </patternFill>
    </fill>
    <fill>
      <patternFill patternType="solid">
        <fgColor theme="7" tint="-0.249977111117893"/>
        <bgColor theme="0" tint="-0.14999847407452621"/>
      </patternFill>
    </fill>
  </fills>
  <borders count="31">
    <border>
      <left/>
      <right/>
      <top/>
      <bottom/>
      <diagonal/>
    </border>
    <border>
      <left style="medium">
        <color indexed="64"/>
      </left>
      <right style="thin">
        <color indexed="64"/>
      </right>
      <top style="medium">
        <color indexed="64"/>
      </top>
      <bottom style="medium">
        <color indexed="64"/>
      </bottom>
      <diagonal/>
    </border>
    <border>
      <left style="thin">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style="thin">
        <color indexed="64"/>
      </top>
      <bottom style="thin">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auto="1"/>
      </left>
      <right style="medium">
        <color auto="1"/>
      </right>
      <top style="medium">
        <color auto="1"/>
      </top>
      <bottom style="medium">
        <color auto="1"/>
      </bottom>
      <diagonal/>
    </border>
    <border>
      <left style="medium">
        <color auto="1"/>
      </left>
      <right style="medium">
        <color auto="1"/>
      </right>
      <top/>
      <bottom style="medium">
        <color auto="1"/>
      </bottom>
      <diagonal/>
    </border>
    <border>
      <left style="medium">
        <color auto="1"/>
      </left>
      <right style="medium">
        <color auto="1"/>
      </right>
      <top style="medium">
        <color auto="1"/>
      </top>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style="medium">
        <color auto="1"/>
      </left>
      <right/>
      <top style="medium">
        <color auto="1"/>
      </top>
      <bottom style="medium">
        <color auto="1"/>
      </bottom>
      <diagonal/>
    </border>
    <border>
      <left style="medium">
        <color auto="1"/>
      </left>
      <right/>
      <top/>
      <bottom/>
      <diagonal/>
    </border>
    <border>
      <left/>
      <right style="thin">
        <color indexed="64"/>
      </right>
      <top style="thin">
        <color indexed="64"/>
      </top>
      <bottom/>
      <diagonal/>
    </border>
    <border>
      <left/>
      <right/>
      <top/>
      <bottom style="medium">
        <color auto="1"/>
      </bottom>
      <diagonal/>
    </border>
    <border>
      <left/>
      <right/>
      <top style="thin">
        <color indexed="64"/>
      </top>
      <bottom/>
      <diagonal/>
    </border>
    <border>
      <left style="thin">
        <color indexed="64"/>
      </left>
      <right/>
      <top/>
      <bottom style="medium">
        <color indexed="64"/>
      </bottom>
      <diagonal/>
    </border>
    <border>
      <left/>
      <right/>
      <top style="medium">
        <color indexed="64"/>
      </top>
      <bottom/>
      <diagonal/>
    </border>
    <border>
      <left style="thin">
        <color indexed="64"/>
      </left>
      <right/>
      <top style="medium">
        <color indexed="64"/>
      </top>
      <bottom/>
      <diagonal/>
    </border>
    <border>
      <left style="thin">
        <color indexed="64"/>
      </left>
      <right/>
      <top style="medium">
        <color theme="1"/>
      </top>
      <bottom/>
      <diagonal/>
    </border>
    <border>
      <left style="thin">
        <color indexed="64"/>
      </left>
      <right style="thin">
        <color indexed="64"/>
      </right>
      <top style="medium">
        <color indexed="64"/>
      </top>
      <bottom/>
      <diagonal/>
    </border>
    <border>
      <left style="medium">
        <color auto="1"/>
      </left>
      <right style="medium">
        <color auto="1"/>
      </right>
      <top/>
      <bottom/>
      <diagonal/>
    </border>
    <border>
      <left/>
      <right style="thin">
        <color indexed="64"/>
      </right>
      <top style="medium">
        <color indexed="64"/>
      </top>
      <bottom style="medium">
        <color indexed="64"/>
      </bottom>
      <diagonal/>
    </border>
  </borders>
  <cellStyleXfs count="2">
    <xf numFmtId="0" fontId="0" fillId="0" borderId="0"/>
    <xf numFmtId="0" fontId="1" fillId="2" borderId="0" applyNumberFormat="0" applyBorder="0" applyAlignment="0" applyProtection="0"/>
  </cellStyleXfs>
  <cellXfs count="161">
    <xf numFmtId="0" fontId="0" fillId="0" borderId="0" xfId="0"/>
    <xf numFmtId="0" fontId="2" fillId="5" borderId="8" xfId="0" applyFont="1" applyFill="1" applyBorder="1" applyAlignment="1">
      <alignment horizontal="center" wrapText="1"/>
    </xf>
    <xf numFmtId="0" fontId="1" fillId="2" borderId="0" xfId="1" applyBorder="1" applyAlignment="1">
      <alignment horizontal="center" vertical="center" wrapText="1"/>
    </xf>
    <xf numFmtId="0" fontId="2" fillId="7" borderId="1" xfId="0" applyFont="1" applyFill="1" applyBorder="1" applyAlignment="1">
      <alignment horizontal="center" vertical="center" wrapText="1"/>
    </xf>
    <xf numFmtId="0" fontId="2" fillId="7" borderId="12" xfId="0" applyFont="1" applyFill="1" applyBorder="1" applyAlignment="1">
      <alignment horizontal="center" vertical="center" wrapText="1"/>
    </xf>
    <xf numFmtId="0" fontId="2" fillId="7" borderId="13" xfId="0" applyFont="1" applyFill="1" applyBorder="1" applyAlignment="1">
      <alignment horizontal="center" vertical="center" wrapText="1"/>
    </xf>
    <xf numFmtId="0" fontId="2" fillId="7" borderId="2" xfId="0" applyFont="1" applyFill="1" applyBorder="1" applyAlignment="1">
      <alignment horizontal="center" vertical="center" wrapText="1"/>
    </xf>
    <xf numFmtId="0" fontId="0" fillId="0" borderId="0" xfId="0" applyAlignment="1">
      <alignment horizontal="center" vertical="center"/>
    </xf>
    <xf numFmtId="164" fontId="0" fillId="0" borderId="0" xfId="0" applyNumberFormat="1" applyAlignment="1">
      <alignment horizontal="center" vertical="center"/>
    </xf>
    <xf numFmtId="0" fontId="0" fillId="0" borderId="14" xfId="0" applyBorder="1"/>
    <xf numFmtId="0" fontId="0" fillId="0" borderId="14" xfId="0" applyBorder="1" applyAlignment="1">
      <alignment horizontal="center" vertical="center"/>
    </xf>
    <xf numFmtId="0" fontId="10" fillId="0" borderId="14" xfId="0" applyFont="1" applyBorder="1" applyAlignment="1">
      <alignment horizontal="center" vertical="center"/>
    </xf>
    <xf numFmtId="0" fontId="11" fillId="0" borderId="14" xfId="0" applyFont="1" applyBorder="1" applyAlignment="1">
      <alignment horizontal="center" vertical="center"/>
    </xf>
    <xf numFmtId="0" fontId="0" fillId="0" borderId="0" xfId="0" pivotButton="1"/>
    <xf numFmtId="0" fontId="0" fillId="0" borderId="0" xfId="0" applyAlignment="1">
      <alignment horizontal="left"/>
    </xf>
    <xf numFmtId="10" fontId="0" fillId="0" borderId="0" xfId="0" applyNumberFormat="1"/>
    <xf numFmtId="0" fontId="0" fillId="0" borderId="10" xfId="0" applyBorder="1"/>
    <xf numFmtId="0" fontId="0" fillId="0" borderId="8" xfId="0" applyBorder="1"/>
    <xf numFmtId="0" fontId="0" fillId="0" borderId="9" xfId="0" applyBorder="1"/>
    <xf numFmtId="0" fontId="5" fillId="3" borderId="0" xfId="0" applyFont="1" applyFill="1" applyAlignment="1">
      <alignment horizontal="center" vertical="center"/>
    </xf>
    <xf numFmtId="0" fontId="0" fillId="0" borderId="5" xfId="0" applyBorder="1" applyAlignment="1" applyProtection="1">
      <alignment horizontal="center" vertical="center"/>
      <protection locked="0"/>
    </xf>
    <xf numFmtId="0" fontId="0" fillId="0" borderId="7" xfId="0" applyBorder="1" applyAlignment="1" applyProtection="1">
      <alignment horizontal="center" vertical="center"/>
      <protection locked="0"/>
    </xf>
    <xf numFmtId="14" fontId="0" fillId="0" borderId="6" xfId="0" applyNumberFormat="1" applyBorder="1" applyAlignment="1" applyProtection="1">
      <alignment horizontal="center" vertical="center"/>
      <protection locked="0"/>
    </xf>
    <xf numFmtId="0" fontId="0" fillId="0" borderId="5" xfId="0" applyFont="1" applyBorder="1" applyAlignment="1" applyProtection="1">
      <alignment horizontal="center" vertical="center"/>
      <protection locked="0"/>
    </xf>
    <xf numFmtId="0" fontId="0" fillId="0" borderId="9" xfId="0" applyBorder="1" applyAlignment="1" applyProtection="1">
      <alignment horizontal="center" vertical="center"/>
      <protection locked="0"/>
    </xf>
    <xf numFmtId="0" fontId="16" fillId="0" borderId="5" xfId="0" applyFont="1" applyBorder="1" applyAlignment="1" applyProtection="1">
      <alignment horizontal="center" vertical="center"/>
      <protection locked="0"/>
    </xf>
    <xf numFmtId="0" fontId="2" fillId="8" borderId="9" xfId="0" applyFont="1" applyFill="1" applyBorder="1" applyAlignment="1" applyProtection="1">
      <alignment horizontal="center" vertical="center"/>
      <protection locked="0"/>
    </xf>
    <xf numFmtId="0" fontId="0" fillId="0" borderId="5" xfId="0" applyFont="1" applyBorder="1" applyAlignment="1" applyProtection="1">
      <alignment horizontal="center" vertical="center" wrapText="1"/>
      <protection locked="0"/>
    </xf>
    <xf numFmtId="0" fontId="0" fillId="0" borderId="9" xfId="0" applyBorder="1" applyAlignment="1" applyProtection="1">
      <alignment horizontal="center" vertical="center" wrapText="1"/>
      <protection locked="0"/>
    </xf>
    <xf numFmtId="0" fontId="0" fillId="0" borderId="5" xfId="0" applyBorder="1" applyAlignment="1" applyProtection="1">
      <alignment horizontal="center" vertical="center" wrapText="1"/>
      <protection locked="0"/>
    </xf>
    <xf numFmtId="0" fontId="15" fillId="8" borderId="5" xfId="0" applyFont="1" applyFill="1" applyBorder="1" applyAlignment="1" applyProtection="1">
      <alignment horizontal="center" vertical="center"/>
      <protection locked="0"/>
    </xf>
    <xf numFmtId="0" fontId="0" fillId="0" borderId="9" xfId="0" applyFont="1" applyBorder="1" applyAlignment="1" applyProtection="1">
      <alignment horizontal="center" vertical="center"/>
      <protection hidden="1"/>
    </xf>
    <xf numFmtId="0" fontId="0" fillId="0" borderId="9" xfId="0" applyBorder="1" applyAlignment="1" applyProtection="1">
      <alignment horizontal="center" vertical="center"/>
      <protection hidden="1"/>
    </xf>
    <xf numFmtId="0" fontId="0" fillId="0" borderId="5" xfId="0" applyBorder="1" applyAlignment="1" applyProtection="1">
      <alignment horizontal="center" vertical="center"/>
      <protection hidden="1"/>
    </xf>
    <xf numFmtId="0" fontId="16" fillId="0" borderId="5" xfId="0" applyFont="1" applyBorder="1" applyAlignment="1" applyProtection="1">
      <alignment horizontal="center" vertical="center"/>
      <protection hidden="1"/>
    </xf>
    <xf numFmtId="0" fontId="2" fillId="8" borderId="9" xfId="0" applyFont="1" applyFill="1" applyBorder="1" applyAlignment="1" applyProtection="1">
      <alignment horizontal="center" vertical="center"/>
      <protection hidden="1"/>
    </xf>
    <xf numFmtId="0" fontId="3" fillId="3" borderId="9" xfId="0" applyFont="1" applyFill="1" applyBorder="1" applyAlignment="1" applyProtection="1">
      <alignment horizontal="center" vertical="center"/>
      <protection hidden="1"/>
    </xf>
    <xf numFmtId="0" fontId="3" fillId="3" borderId="5" xfId="0" applyFont="1" applyFill="1" applyBorder="1" applyAlignment="1" applyProtection="1">
      <alignment horizontal="center" vertical="center"/>
      <protection hidden="1"/>
    </xf>
    <xf numFmtId="0" fontId="1" fillId="2" borderId="5" xfId="1" applyNumberFormat="1" applyFont="1" applyBorder="1" applyAlignment="1" applyProtection="1">
      <alignment horizontal="center" vertical="center"/>
      <protection hidden="1"/>
    </xf>
    <xf numFmtId="0" fontId="17" fillId="2" borderId="5" xfId="1" applyNumberFormat="1" applyFont="1" applyBorder="1" applyAlignment="1" applyProtection="1">
      <alignment horizontal="center" vertical="center"/>
      <protection hidden="1"/>
    </xf>
    <xf numFmtId="0" fontId="16" fillId="0" borderId="5" xfId="0" applyNumberFormat="1" applyFont="1" applyBorder="1" applyAlignment="1" applyProtection="1">
      <alignment horizontal="center" vertical="center"/>
      <protection hidden="1"/>
    </xf>
    <xf numFmtId="0" fontId="0" fillId="0" borderId="6" xfId="0" applyBorder="1" applyAlignment="1" applyProtection="1">
      <alignment horizontal="center" vertical="center"/>
      <protection hidden="1"/>
    </xf>
    <xf numFmtId="0" fontId="0" fillId="0" borderId="14" xfId="0" applyBorder="1" applyAlignment="1" applyProtection="1">
      <alignment horizontal="center" vertical="top"/>
      <protection hidden="1"/>
    </xf>
    <xf numFmtId="0" fontId="0" fillId="0" borderId="15" xfId="0" applyBorder="1" applyAlignment="1" applyProtection="1">
      <alignment horizontal="left" vertical="center"/>
      <protection hidden="1"/>
    </xf>
    <xf numFmtId="0" fontId="0" fillId="0" borderId="14" xfId="0" applyBorder="1" applyAlignment="1" applyProtection="1">
      <alignment horizontal="left" vertical="center"/>
      <protection hidden="1"/>
    </xf>
    <xf numFmtId="0" fontId="0" fillId="0" borderId="14" xfId="0" applyNumberFormat="1" applyBorder="1" applyAlignment="1" applyProtection="1">
      <alignment horizontal="left" vertical="center"/>
      <protection hidden="1"/>
    </xf>
    <xf numFmtId="0" fontId="0" fillId="0" borderId="5" xfId="0" applyBorder="1" applyProtection="1">
      <protection hidden="1"/>
    </xf>
    <xf numFmtId="0" fontId="0" fillId="0" borderId="7" xfId="0" applyBorder="1" applyProtection="1">
      <protection hidden="1"/>
    </xf>
    <xf numFmtId="0" fontId="0" fillId="0" borderId="18" xfId="0" applyBorder="1" applyProtection="1">
      <protection hidden="1"/>
    </xf>
    <xf numFmtId="0" fontId="0" fillId="0" borderId="17" xfId="0" applyBorder="1" applyProtection="1">
      <protection hidden="1"/>
    </xf>
    <xf numFmtId="0" fontId="0" fillId="0" borderId="5" xfId="0" applyNumberFormat="1" applyBorder="1" applyAlignment="1" applyProtection="1">
      <alignment horizontal="center" vertical="center"/>
      <protection hidden="1"/>
    </xf>
    <xf numFmtId="0" fontId="0" fillId="0" borderId="18" xfId="0" applyBorder="1" applyAlignment="1" applyProtection="1">
      <alignment horizontal="center" vertical="center"/>
      <protection locked="0"/>
    </xf>
    <xf numFmtId="0" fontId="0" fillId="0" borderId="18" xfId="0" applyNumberFormat="1" applyBorder="1" applyAlignment="1" applyProtection="1">
      <alignment horizontal="center" vertical="center"/>
      <protection hidden="1"/>
    </xf>
    <xf numFmtId="0" fontId="0" fillId="0" borderId="14" xfId="0" applyBorder="1" applyAlignment="1">
      <alignment horizontal="left" indent="2"/>
    </xf>
    <xf numFmtId="0" fontId="0" fillId="0" borderId="20" xfId="0" applyBorder="1"/>
    <xf numFmtId="0" fontId="0" fillId="0" borderId="14" xfId="0" applyNumberFormat="1" applyBorder="1" applyAlignment="1">
      <alignment horizontal="center" vertical="center"/>
    </xf>
    <xf numFmtId="0" fontId="0" fillId="0" borderId="19" xfId="0" pivotButton="1" applyBorder="1"/>
    <xf numFmtId="14" fontId="0" fillId="0" borderId="19" xfId="0" applyNumberFormat="1" applyBorder="1" applyAlignment="1">
      <alignment horizontal="left"/>
    </xf>
    <xf numFmtId="0" fontId="0" fillId="0" borderId="4" xfId="0" applyBorder="1" applyAlignment="1">
      <alignment horizontal="center" vertical="center"/>
    </xf>
    <xf numFmtId="10" fontId="0" fillId="0" borderId="4" xfId="0" applyNumberFormat="1" applyBorder="1" applyAlignment="1">
      <alignment horizontal="center" vertical="center"/>
    </xf>
    <xf numFmtId="0" fontId="2" fillId="5" borderId="9" xfId="0" applyFont="1" applyFill="1" applyBorder="1" applyAlignment="1">
      <alignment horizontal="center" vertical="center" wrapText="1"/>
    </xf>
    <xf numFmtId="0" fontId="2" fillId="5" borderId="8" xfId="0" applyFont="1" applyFill="1" applyBorder="1" applyAlignment="1">
      <alignment horizontal="center" vertical="center" wrapText="1"/>
    </xf>
    <xf numFmtId="0" fontId="2" fillId="5" borderId="10" xfId="0" applyFont="1" applyFill="1" applyBorder="1" applyAlignment="1">
      <alignment horizontal="center" vertical="center" wrapText="1"/>
    </xf>
    <xf numFmtId="0" fontId="2" fillId="5" borderId="5" xfId="0" applyFont="1" applyFill="1" applyBorder="1" applyAlignment="1">
      <alignment horizontal="center" vertical="center" wrapText="1"/>
    </xf>
    <xf numFmtId="14" fontId="0" fillId="0" borderId="20" xfId="0" applyNumberFormat="1" applyBorder="1" applyAlignment="1">
      <alignment horizontal="left"/>
    </xf>
    <xf numFmtId="14" fontId="18" fillId="13" borderId="6" xfId="0" applyNumberFormat="1" applyFont="1" applyFill="1" applyBorder="1" applyAlignment="1" applyProtection="1">
      <alignment horizontal="center" vertical="center"/>
      <protection locked="0"/>
    </xf>
    <xf numFmtId="0" fontId="18" fillId="13" borderId="5" xfId="0" applyNumberFormat="1" applyFont="1" applyFill="1" applyBorder="1" applyAlignment="1" applyProtection="1">
      <alignment horizontal="center" vertical="center"/>
      <protection locked="0"/>
    </xf>
    <xf numFmtId="0" fontId="18" fillId="13" borderId="5" xfId="0" applyFont="1" applyFill="1" applyBorder="1" applyAlignment="1" applyProtection="1">
      <alignment horizontal="center" vertical="center"/>
      <protection locked="0"/>
    </xf>
    <xf numFmtId="14" fontId="18" fillId="13" borderId="21" xfId="0" applyNumberFormat="1" applyFont="1" applyFill="1" applyBorder="1" applyAlignment="1" applyProtection="1">
      <alignment horizontal="center" vertical="center"/>
      <protection locked="0"/>
    </xf>
    <xf numFmtId="0" fontId="18" fillId="13" borderId="18" xfId="0" applyNumberFormat="1" applyFont="1" applyFill="1" applyBorder="1" applyAlignment="1" applyProtection="1">
      <alignment horizontal="center" vertical="center"/>
      <protection locked="0"/>
    </xf>
    <xf numFmtId="0" fontId="18" fillId="13" borderId="18" xfId="0" applyFont="1" applyFill="1" applyBorder="1" applyAlignment="1" applyProtection="1">
      <alignment horizontal="center" vertical="center"/>
      <protection locked="0"/>
    </xf>
    <xf numFmtId="0" fontId="0" fillId="0" borderId="14" xfId="0" applyNumberFormat="1" applyBorder="1"/>
    <xf numFmtId="0" fontId="0" fillId="0" borderId="14" xfId="0" pivotButton="1" applyBorder="1"/>
    <xf numFmtId="14" fontId="0" fillId="0" borderId="14" xfId="0" applyNumberFormat="1" applyBorder="1" applyAlignment="1">
      <alignment horizontal="left"/>
    </xf>
    <xf numFmtId="0" fontId="0" fillId="0" borderId="14" xfId="0" applyBorder="1" applyAlignment="1">
      <alignment horizontal="left" indent="1"/>
    </xf>
    <xf numFmtId="0" fontId="0" fillId="0" borderId="14" xfId="0" applyBorder="1" applyAlignment="1">
      <alignment horizontal="left"/>
    </xf>
    <xf numFmtId="0" fontId="0" fillId="0" borderId="14" xfId="0" applyBorder="1" applyAlignment="1">
      <alignment horizontal="left" indent="3"/>
    </xf>
    <xf numFmtId="10" fontId="0" fillId="0" borderId="14" xfId="0" applyNumberFormat="1" applyBorder="1"/>
    <xf numFmtId="1" fontId="0" fillId="0" borderId="14" xfId="0" applyNumberFormat="1" applyBorder="1"/>
    <xf numFmtId="0" fontId="3" fillId="3" borderId="5" xfId="0" applyFont="1" applyFill="1" applyBorder="1" applyAlignment="1">
      <alignment horizontal="center" vertical="center"/>
    </xf>
    <xf numFmtId="0" fontId="7" fillId="3" borderId="20" xfId="0" applyFont="1" applyFill="1" applyBorder="1" applyAlignment="1">
      <alignment horizontal="left" indent="1"/>
    </xf>
    <xf numFmtId="0" fontId="0" fillId="0" borderId="20" xfId="0" applyBorder="1" applyAlignment="1">
      <alignment horizontal="left" indent="3"/>
    </xf>
    <xf numFmtId="0" fontId="0" fillId="0" borderId="20" xfId="0" applyBorder="1" applyAlignment="1">
      <alignment horizontal="left" indent="4"/>
    </xf>
    <xf numFmtId="14" fontId="0" fillId="0" borderId="14" xfId="0" applyNumberFormat="1" applyBorder="1" applyAlignment="1">
      <alignment horizontal="left" indent="2"/>
    </xf>
    <xf numFmtId="0" fontId="3" fillId="3" borderId="18" xfId="0" applyFont="1" applyFill="1" applyBorder="1" applyAlignment="1">
      <alignment horizontal="center" vertical="center"/>
    </xf>
    <xf numFmtId="0" fontId="2" fillId="0" borderId="14" xfId="0" applyFont="1" applyBorder="1" applyAlignment="1">
      <alignment horizontal="left" indent="1"/>
    </xf>
    <xf numFmtId="0" fontId="0" fillId="17" borderId="26" xfId="0" applyFont="1" applyFill="1" applyBorder="1" applyAlignment="1">
      <alignment horizontal="center" vertical="center" wrapText="1"/>
    </xf>
    <xf numFmtId="0" fontId="0" fillId="17" borderId="26" xfId="0" applyFont="1" applyFill="1" applyBorder="1" applyAlignment="1">
      <alignment horizontal="center" vertical="center"/>
    </xf>
    <xf numFmtId="0" fontId="1" fillId="2" borderId="27" xfId="1" applyNumberFormat="1" applyFont="1" applyFill="1" applyBorder="1" applyAlignment="1">
      <alignment horizontal="center" vertical="center"/>
    </xf>
    <xf numFmtId="0" fontId="3" fillId="3" borderId="28" xfId="0" applyFont="1" applyFill="1" applyBorder="1" applyAlignment="1">
      <alignment horizontal="center" vertical="center"/>
    </xf>
    <xf numFmtId="0" fontId="0" fillId="0" borderId="17" xfId="0" applyFont="1" applyBorder="1" applyAlignment="1">
      <alignment horizontal="center" vertical="center" wrapText="1"/>
    </xf>
    <xf numFmtId="0" fontId="0" fillId="0" borderId="17" xfId="0" applyFont="1" applyBorder="1" applyAlignment="1">
      <alignment horizontal="center" vertical="center"/>
    </xf>
    <xf numFmtId="0" fontId="1" fillId="2" borderId="17" xfId="1" applyNumberFormat="1" applyFont="1" applyFill="1" applyBorder="1" applyAlignment="1">
      <alignment horizontal="center" vertical="center"/>
    </xf>
    <xf numFmtId="0" fontId="0" fillId="16" borderId="17" xfId="0" applyFont="1" applyFill="1" applyBorder="1" applyAlignment="1">
      <alignment horizontal="center" vertical="center" wrapText="1"/>
    </xf>
    <xf numFmtId="0" fontId="0" fillId="16" borderId="17" xfId="0" applyFont="1" applyFill="1" applyBorder="1" applyAlignment="1">
      <alignment horizontal="center" vertical="center"/>
    </xf>
    <xf numFmtId="0" fontId="0" fillId="17" borderId="17" xfId="0" applyFont="1" applyFill="1" applyBorder="1" applyAlignment="1">
      <alignment horizontal="center" vertical="center"/>
    </xf>
    <xf numFmtId="0" fontId="0" fillId="0" borderId="7" xfId="0" applyFont="1" applyBorder="1" applyAlignment="1">
      <alignment horizontal="center" vertical="center" wrapText="1"/>
    </xf>
    <xf numFmtId="0" fontId="0" fillId="0" borderId="7" xfId="0" applyFont="1" applyBorder="1" applyAlignment="1">
      <alignment horizontal="center" vertical="center"/>
    </xf>
    <xf numFmtId="0" fontId="1" fillId="2" borderId="7" xfId="1" applyNumberFormat="1" applyFont="1" applyFill="1" applyBorder="1" applyAlignment="1">
      <alignment horizontal="center" vertical="center"/>
    </xf>
    <xf numFmtId="0" fontId="0" fillId="17" borderId="17" xfId="0" applyFont="1" applyFill="1" applyBorder="1" applyAlignment="1">
      <alignment horizontal="center" vertical="center" wrapText="1"/>
    </xf>
    <xf numFmtId="0" fontId="0" fillId="16" borderId="7" xfId="0" applyFont="1" applyFill="1" applyBorder="1" applyAlignment="1">
      <alignment horizontal="center" vertical="center" wrapText="1"/>
    </xf>
    <xf numFmtId="0" fontId="0" fillId="16" borderId="7" xfId="0" applyFont="1" applyFill="1" applyBorder="1" applyAlignment="1">
      <alignment horizontal="center" vertical="center"/>
    </xf>
    <xf numFmtId="0" fontId="0" fillId="0" borderId="19" xfId="0" applyBorder="1" applyAlignment="1">
      <alignment horizontal="center" vertical="center"/>
    </xf>
    <xf numFmtId="0" fontId="2" fillId="7" borderId="30" xfId="0" applyFont="1" applyFill="1" applyBorder="1" applyAlignment="1">
      <alignment horizontal="center" vertical="center" wrapText="1"/>
    </xf>
    <xf numFmtId="0" fontId="2" fillId="8" borderId="8" xfId="0" applyFont="1" applyFill="1" applyBorder="1" applyAlignment="1" applyProtection="1">
      <alignment horizontal="center" vertical="center"/>
      <protection locked="0"/>
    </xf>
    <xf numFmtId="0" fontId="15" fillId="8" borderId="6" xfId="0" applyFont="1" applyFill="1" applyBorder="1" applyAlignment="1" applyProtection="1">
      <alignment horizontal="center" vertical="center"/>
      <protection locked="0"/>
    </xf>
    <xf numFmtId="0" fontId="2" fillId="22" borderId="25" xfId="0" applyFont="1" applyFill="1" applyBorder="1" applyAlignment="1">
      <alignment horizontal="center" vertical="center"/>
    </xf>
    <xf numFmtId="0" fontId="2" fillId="22" borderId="23" xfId="0" applyFont="1" applyFill="1" applyBorder="1" applyAlignment="1">
      <alignment horizontal="center" vertical="center"/>
    </xf>
    <xf numFmtId="0" fontId="2" fillId="24" borderId="23" xfId="0" applyFont="1" applyFill="1" applyBorder="1" applyAlignment="1">
      <alignment horizontal="center" vertical="center"/>
    </xf>
    <xf numFmtId="0" fontId="2" fillId="22" borderId="11" xfId="0" applyFont="1" applyFill="1" applyBorder="1" applyAlignment="1">
      <alignment horizontal="center" vertical="center"/>
    </xf>
    <xf numFmtId="0" fontId="2" fillId="18" borderId="25" xfId="0" applyFont="1" applyFill="1" applyBorder="1" applyAlignment="1">
      <alignment horizontal="center" vertical="center"/>
    </xf>
    <xf numFmtId="0" fontId="2" fillId="25" borderId="23" xfId="0" applyFont="1" applyFill="1" applyBorder="1" applyAlignment="1">
      <alignment horizontal="center" vertical="center"/>
    </xf>
    <xf numFmtId="0" fontId="2" fillId="18" borderId="23" xfId="0" applyFont="1" applyFill="1" applyBorder="1" applyAlignment="1">
      <alignment horizontal="center" vertical="center"/>
    </xf>
    <xf numFmtId="0" fontId="2" fillId="25" borderId="11" xfId="0" applyFont="1" applyFill="1" applyBorder="1" applyAlignment="1">
      <alignment horizontal="center" vertical="center"/>
    </xf>
    <xf numFmtId="0" fontId="23" fillId="22" borderId="16" xfId="0" applyFont="1" applyFill="1" applyBorder="1" applyAlignment="1">
      <alignment horizontal="center" vertical="top" textRotation="255"/>
    </xf>
    <xf numFmtId="0" fontId="23" fillId="22" borderId="29" xfId="0" applyFont="1" applyFill="1" applyBorder="1" applyAlignment="1">
      <alignment horizontal="center" vertical="top" textRotation="255"/>
    </xf>
    <xf numFmtId="0" fontId="23" fillId="22" borderId="15" xfId="0" applyFont="1" applyFill="1" applyBorder="1" applyAlignment="1">
      <alignment horizontal="center" vertical="top" textRotation="255"/>
    </xf>
    <xf numFmtId="0" fontId="22" fillId="19" borderId="16" xfId="0" applyFont="1" applyFill="1" applyBorder="1" applyAlignment="1">
      <alignment horizontal="center" vertical="top" textRotation="255"/>
    </xf>
    <xf numFmtId="0" fontId="22" fillId="19" borderId="29" xfId="0" applyFont="1" applyFill="1" applyBorder="1" applyAlignment="1">
      <alignment horizontal="center" vertical="top" textRotation="255"/>
    </xf>
    <xf numFmtId="0" fontId="22" fillId="19" borderId="15" xfId="0" applyFont="1" applyFill="1" applyBorder="1" applyAlignment="1">
      <alignment horizontal="center" vertical="top" textRotation="255"/>
    </xf>
    <xf numFmtId="0" fontId="23" fillId="21" borderId="16" xfId="0" applyFont="1" applyFill="1" applyBorder="1" applyAlignment="1">
      <alignment horizontal="center" vertical="top" textRotation="255"/>
    </xf>
    <xf numFmtId="0" fontId="23" fillId="21" borderId="29" xfId="0" applyFont="1" applyFill="1" applyBorder="1" applyAlignment="1">
      <alignment horizontal="center" vertical="top" textRotation="255"/>
    </xf>
    <xf numFmtId="0" fontId="23" fillId="21" borderId="15" xfId="0" applyFont="1" applyFill="1" applyBorder="1" applyAlignment="1">
      <alignment horizontal="center" vertical="top" textRotation="255"/>
    </xf>
    <xf numFmtId="0" fontId="20" fillId="18" borderId="0" xfId="0" applyFont="1" applyFill="1" applyAlignment="1">
      <alignment horizontal="center" vertical="center"/>
    </xf>
    <xf numFmtId="0" fontId="20" fillId="18" borderId="22" xfId="0" applyFont="1" applyFill="1" applyBorder="1" applyAlignment="1">
      <alignment horizontal="center" vertical="center"/>
    </xf>
    <xf numFmtId="0" fontId="6" fillId="6" borderId="24" xfId="0" applyFont="1" applyFill="1" applyBorder="1" applyAlignment="1">
      <alignment horizontal="center" vertical="center" wrapText="1"/>
    </xf>
    <xf numFmtId="0" fontId="6" fillId="6" borderId="22" xfId="0" applyFont="1" applyFill="1" applyBorder="1" applyAlignment="1">
      <alignment horizontal="center" vertical="center" wrapText="1"/>
    </xf>
    <xf numFmtId="0" fontId="6" fillId="6" borderId="19" xfId="0" applyFont="1" applyFill="1" applyBorder="1" applyAlignment="1">
      <alignment horizontal="center" vertical="center" wrapText="1"/>
    </xf>
    <xf numFmtId="0" fontId="6" fillId="6" borderId="3" xfId="0" applyFont="1" applyFill="1" applyBorder="1" applyAlignment="1">
      <alignment horizontal="center" vertical="center" wrapText="1"/>
    </xf>
    <xf numFmtId="0" fontId="6" fillId="6" borderId="4" xfId="0" applyFont="1" applyFill="1" applyBorder="1" applyAlignment="1">
      <alignment horizontal="center" vertical="center" wrapText="1"/>
    </xf>
    <xf numFmtId="0" fontId="21" fillId="19" borderId="16" xfId="0" applyFont="1" applyFill="1" applyBorder="1" applyAlignment="1">
      <alignment horizontal="center" vertical="center" textRotation="255"/>
    </xf>
    <xf numFmtId="0" fontId="21" fillId="19" borderId="29" xfId="0" applyFont="1" applyFill="1" applyBorder="1" applyAlignment="1">
      <alignment horizontal="center" vertical="center" textRotation="255"/>
    </xf>
    <xf numFmtId="0" fontId="21" fillId="19" borderId="15" xfId="0" applyFont="1" applyFill="1" applyBorder="1" applyAlignment="1">
      <alignment horizontal="center" vertical="center" textRotation="255"/>
    </xf>
    <xf numFmtId="0" fontId="4" fillId="23" borderId="19" xfId="0" applyFont="1" applyFill="1" applyBorder="1" applyAlignment="1">
      <alignment horizontal="center" vertical="center"/>
    </xf>
    <xf numFmtId="0" fontId="4" fillId="23" borderId="3" xfId="0" applyFont="1" applyFill="1" applyBorder="1" applyAlignment="1">
      <alignment horizontal="center" vertical="center"/>
    </xf>
    <xf numFmtId="0" fontId="4" fillId="23" borderId="4" xfId="0" applyFont="1" applyFill="1" applyBorder="1" applyAlignment="1">
      <alignment horizontal="center" vertical="center"/>
    </xf>
    <xf numFmtId="0" fontId="4" fillId="3" borderId="0" xfId="0" applyFont="1" applyFill="1" applyAlignment="1">
      <alignment horizontal="center" vertical="center"/>
    </xf>
    <xf numFmtId="0" fontId="12" fillId="10" borderId="15" xfId="0" applyFont="1" applyFill="1" applyBorder="1" applyAlignment="1">
      <alignment horizontal="center" vertical="center"/>
    </xf>
    <xf numFmtId="0" fontId="24" fillId="21" borderId="16" xfId="0" applyFont="1" applyFill="1" applyBorder="1" applyAlignment="1">
      <alignment horizontal="center" vertical="center" textRotation="255"/>
    </xf>
    <xf numFmtId="0" fontId="24" fillId="21" borderId="29" xfId="0" applyFont="1" applyFill="1" applyBorder="1" applyAlignment="1">
      <alignment horizontal="center" vertical="center" textRotation="255"/>
    </xf>
    <xf numFmtId="0" fontId="24" fillId="21" borderId="15" xfId="0" applyFont="1" applyFill="1" applyBorder="1" applyAlignment="1">
      <alignment horizontal="center" vertical="center" textRotation="255"/>
    </xf>
    <xf numFmtId="0" fontId="4" fillId="20" borderId="29" xfId="0" applyFont="1" applyFill="1" applyBorder="1" applyAlignment="1">
      <alignment horizontal="center" vertical="center"/>
    </xf>
    <xf numFmtId="0" fontId="4" fillId="20" borderId="15" xfId="0" applyFont="1" applyFill="1" applyBorder="1" applyAlignment="1">
      <alignment horizontal="center" vertical="center"/>
    </xf>
    <xf numFmtId="0" fontId="23" fillId="22" borderId="16" xfId="0" applyFont="1" applyFill="1" applyBorder="1" applyAlignment="1">
      <alignment horizontal="center" vertical="center" textRotation="255"/>
    </xf>
    <xf numFmtId="0" fontId="23" fillId="22" borderId="29" xfId="0" applyFont="1" applyFill="1" applyBorder="1" applyAlignment="1">
      <alignment horizontal="center" vertical="center" textRotation="255"/>
    </xf>
    <xf numFmtId="0" fontId="23" fillId="22" borderId="15" xfId="0" applyFont="1" applyFill="1" applyBorder="1" applyAlignment="1">
      <alignment horizontal="center" vertical="center" textRotation="255"/>
    </xf>
    <xf numFmtId="0" fontId="11" fillId="11" borderId="0" xfId="0" applyFont="1" applyFill="1" applyAlignment="1">
      <alignment horizontal="center"/>
    </xf>
    <xf numFmtId="0" fontId="14" fillId="3" borderId="0" xfId="0" applyFont="1" applyFill="1" applyAlignment="1">
      <alignment horizontal="center" vertical="center"/>
    </xf>
    <xf numFmtId="0" fontId="13" fillId="3" borderId="0" xfId="0" applyFont="1" applyFill="1" applyAlignment="1">
      <alignment horizontal="center" vertical="center"/>
    </xf>
    <xf numFmtId="0" fontId="11" fillId="11" borderId="0" xfId="0" applyFont="1" applyFill="1" applyAlignment="1">
      <alignment horizontal="center" vertical="center"/>
    </xf>
    <xf numFmtId="0" fontId="4" fillId="4" borderId="7" xfId="0" applyFont="1" applyFill="1" applyBorder="1" applyAlignment="1">
      <alignment horizontal="center"/>
    </xf>
    <xf numFmtId="0" fontId="4" fillId="4" borderId="11" xfId="0" applyFont="1" applyFill="1" applyBorder="1" applyAlignment="1">
      <alignment horizontal="center"/>
    </xf>
    <xf numFmtId="0" fontId="19" fillId="14" borderId="20" xfId="0" applyFont="1" applyFill="1" applyBorder="1" applyAlignment="1">
      <alignment horizontal="center" vertical="center"/>
    </xf>
    <xf numFmtId="0" fontId="19" fillId="14" borderId="0" xfId="0" applyFont="1" applyFill="1" applyBorder="1" applyAlignment="1">
      <alignment horizontal="center" vertical="center"/>
    </xf>
    <xf numFmtId="0" fontId="7" fillId="15" borderId="22" xfId="0" applyFont="1" applyFill="1" applyBorder="1" applyAlignment="1">
      <alignment horizontal="center" vertical="center"/>
    </xf>
    <xf numFmtId="0" fontId="19" fillId="14" borderId="19" xfId="0" applyFont="1" applyFill="1" applyBorder="1" applyAlignment="1">
      <alignment horizontal="center" vertical="center"/>
    </xf>
    <xf numFmtId="0" fontId="19" fillId="14" borderId="4" xfId="0" applyFont="1" applyFill="1" applyBorder="1" applyAlignment="1">
      <alignment horizontal="center" vertical="center"/>
    </xf>
    <xf numFmtId="0" fontId="2" fillId="12" borderId="19" xfId="0" applyFont="1" applyFill="1" applyBorder="1" applyAlignment="1">
      <alignment horizontal="center"/>
    </xf>
    <xf numFmtId="0" fontId="2" fillId="12" borderId="3" xfId="0" applyFont="1" applyFill="1" applyBorder="1" applyAlignment="1">
      <alignment horizontal="center"/>
    </xf>
    <xf numFmtId="0" fontId="2" fillId="12" borderId="4" xfId="0" applyFont="1" applyFill="1" applyBorder="1" applyAlignment="1">
      <alignment horizontal="center"/>
    </xf>
    <xf numFmtId="0" fontId="7" fillId="9" borderId="0" xfId="0" applyFont="1" applyFill="1" applyAlignment="1">
      <alignment horizontal="center"/>
    </xf>
  </cellXfs>
  <cellStyles count="2">
    <cellStyle name="Good" xfId="1" builtinId="26"/>
    <cellStyle name="Normal" xfId="0" builtinId="0"/>
  </cellStyles>
  <dxfs count="248">
    <dxf>
      <font>
        <b/>
        <i val="0"/>
      </font>
      <fill>
        <gradientFill degree="315">
          <stop position="0">
            <color theme="7" tint="-0.25098422193060094"/>
          </stop>
          <stop position="1">
            <color theme="9" tint="-0.49803155613879818"/>
          </stop>
        </gradientFill>
      </fill>
      <border>
        <vertical/>
        <horizontal/>
      </border>
    </dxf>
    <dxf>
      <font>
        <b/>
        <i val="0"/>
      </font>
      <fill>
        <gradientFill degree="225">
          <stop position="0">
            <color theme="2"/>
          </stop>
          <stop position="1">
            <color theme="3" tint="0.59999389629810485"/>
          </stop>
        </gradientFill>
      </fill>
      <border>
        <left style="thin">
          <color auto="1"/>
        </left>
        <right style="thin">
          <color auto="1"/>
        </right>
        <top style="thin">
          <color auto="1"/>
        </top>
        <bottom style="thin">
          <color auto="1"/>
        </bottom>
        <vertical/>
        <horizontal/>
      </border>
    </dxf>
    <dxf>
      <font>
        <b/>
        <i val="0"/>
      </font>
      <fill>
        <gradientFill degree="180">
          <stop position="0">
            <color theme="2"/>
          </stop>
          <stop position="1">
            <color rgb="FFFF0000"/>
          </stop>
        </gradientFill>
      </fill>
      <border>
        <left style="thin">
          <color auto="1"/>
        </left>
        <right style="thin">
          <color auto="1"/>
        </right>
        <top style="thin">
          <color auto="1"/>
        </top>
        <bottom style="thin">
          <color auto="1"/>
        </bottom>
        <vertical/>
        <horizontal/>
      </border>
    </dxf>
    <dxf>
      <font>
        <b/>
        <i val="0"/>
      </font>
      <fill>
        <gradientFill degree="315">
          <stop position="0">
            <color theme="7" tint="-0.25098422193060094"/>
          </stop>
          <stop position="1">
            <color theme="9" tint="-0.49803155613879818"/>
          </stop>
        </gradientFill>
      </fill>
      <border>
        <vertical/>
        <horizontal/>
      </border>
    </dxf>
    <dxf>
      <font>
        <b/>
        <i val="0"/>
      </font>
      <fill>
        <gradientFill degree="225">
          <stop position="0">
            <color theme="2"/>
          </stop>
          <stop position="1">
            <color theme="3" tint="0.59999389629810485"/>
          </stop>
        </gradientFill>
      </fill>
      <border>
        <left style="thin">
          <color auto="1"/>
        </left>
        <right style="thin">
          <color auto="1"/>
        </right>
        <top style="thin">
          <color auto="1"/>
        </top>
        <bottom style="thin">
          <color auto="1"/>
        </bottom>
        <vertical/>
        <horizontal/>
      </border>
    </dxf>
    <dxf>
      <font>
        <b/>
        <i val="0"/>
      </font>
      <fill>
        <gradientFill degree="180">
          <stop position="0">
            <color theme="2"/>
          </stop>
          <stop position="1">
            <color rgb="FFFF0000"/>
          </stop>
        </gradientFill>
      </fill>
      <border>
        <left style="thin">
          <color auto="1"/>
        </left>
        <right style="thin">
          <color auto="1"/>
        </right>
        <top style="thin">
          <color auto="1"/>
        </top>
        <bottom style="thin">
          <color auto="1"/>
        </bottom>
        <vertical/>
        <horizontal/>
      </border>
    </dxf>
    <dxf>
      <font>
        <b/>
        <i val="0"/>
      </font>
      <fill>
        <gradientFill degree="315">
          <stop position="0">
            <color theme="7" tint="-0.25098422193060094"/>
          </stop>
          <stop position="1">
            <color theme="9" tint="-0.49803155613879818"/>
          </stop>
        </gradientFill>
      </fill>
      <border>
        <vertical/>
        <horizontal/>
      </border>
    </dxf>
    <dxf>
      <font>
        <b/>
        <i val="0"/>
      </font>
      <fill>
        <gradientFill degree="225">
          <stop position="0">
            <color theme="2"/>
          </stop>
          <stop position="1">
            <color theme="3" tint="0.59999389629810485"/>
          </stop>
        </gradientFill>
      </fill>
      <border>
        <left style="thin">
          <color auto="1"/>
        </left>
        <right style="thin">
          <color auto="1"/>
        </right>
        <top style="thin">
          <color auto="1"/>
        </top>
        <bottom style="thin">
          <color auto="1"/>
        </bottom>
        <vertical/>
        <horizontal/>
      </border>
    </dxf>
    <dxf>
      <font>
        <b/>
        <i val="0"/>
      </font>
      <fill>
        <gradientFill degree="180">
          <stop position="0">
            <color theme="2"/>
          </stop>
          <stop position="1">
            <color rgb="FFFF0000"/>
          </stop>
        </gradientFill>
      </fill>
      <border>
        <left style="thin">
          <color auto="1"/>
        </left>
        <right style="thin">
          <color auto="1"/>
        </right>
        <top style="thin">
          <color auto="1"/>
        </top>
        <bottom style="thin">
          <color auto="1"/>
        </bottom>
        <vertical/>
        <horizontal/>
      </border>
    </dxf>
    <dxf>
      <font>
        <b/>
        <i val="0"/>
      </font>
      <fill>
        <gradientFill degree="315">
          <stop position="0">
            <color theme="9" tint="-0.25098422193060094"/>
          </stop>
          <stop position="1">
            <color theme="7" tint="-0.25098422193060094"/>
          </stop>
        </gradientFill>
      </fill>
      <border>
        <left style="thin">
          <color auto="1"/>
        </left>
        <right style="thin">
          <color auto="1"/>
        </right>
        <top style="thin">
          <color auto="1"/>
        </top>
        <bottom style="thin">
          <color auto="1"/>
        </bottom>
        <vertical/>
        <horizontal/>
      </border>
    </dxf>
    <dxf>
      <font>
        <b/>
        <i val="0"/>
      </font>
      <fill>
        <gradientFill degree="90">
          <stop position="0">
            <color rgb="FFC00000"/>
          </stop>
          <stop position="0.5">
            <color theme="7" tint="-0.25098422193060094"/>
          </stop>
          <stop position="1">
            <color rgb="FFC00000"/>
          </stop>
        </gradientFill>
      </fill>
    </dxf>
    <dxf>
      <font>
        <b/>
        <i val="0"/>
      </font>
      <fill>
        <gradientFill degree="315">
          <stop position="0">
            <color theme="9" tint="-0.25098422193060094"/>
          </stop>
          <stop position="1">
            <color theme="7" tint="-0.25098422193060094"/>
          </stop>
        </gradientFill>
      </fill>
      <border>
        <left style="thin">
          <color auto="1"/>
        </left>
        <right style="thin">
          <color auto="1"/>
        </right>
        <top style="thin">
          <color auto="1"/>
        </top>
        <bottom style="thin">
          <color auto="1"/>
        </bottom>
        <vertical/>
        <horizontal/>
      </border>
    </dxf>
    <dxf>
      <font>
        <b/>
        <i val="0"/>
      </font>
      <fill>
        <gradientFill degree="90">
          <stop position="0">
            <color rgb="FFC00000"/>
          </stop>
          <stop position="0.5">
            <color theme="7" tint="-0.25098422193060094"/>
          </stop>
          <stop position="1">
            <color rgb="FFC00000"/>
          </stop>
        </gradientFill>
      </fill>
    </dxf>
    <dxf>
      <alignment horizontal="center" vertical="center" textRotation="0" wrapText="0" indent="0" justifyLastLine="0" shrinkToFit="0" readingOrder="0"/>
    </dxf>
    <dxf>
      <numFmt numFmtId="0" formatCode="General"/>
      <alignment horizontal="center" vertical="center" textRotation="0" wrapText="0" indent="0" justifyLastLine="0" shrinkToFit="0" readingOrder="0"/>
    </dxf>
    <dxf>
      <alignment horizontal="center" vertical="center" textRotation="0" wrapText="0" indent="0" justifyLastLine="0" shrinkToFit="0" readingOrder="0"/>
    </dxf>
    <dxf>
      <numFmt numFmtId="164" formatCode="[$-F800]dddd\,\ mmmm\ dd\,\ yyyy"/>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border>
        <left style="medium">
          <color auto="1"/>
        </left>
      </border>
    </dxf>
    <dxf>
      <border>
        <bottom/>
      </border>
    </dxf>
    <dxf>
      <alignment vertical="center"/>
    </dxf>
    <dxf>
      <alignment horizontal="center"/>
    </dxf>
    <dxf>
      <alignment vertical="center"/>
    </dxf>
    <dxf>
      <alignment horizontal="center"/>
    </dxf>
    <dxf>
      <font>
        <color theme="0"/>
      </font>
    </dxf>
    <dxf>
      <fill>
        <patternFill patternType="solid">
          <bgColor theme="1"/>
        </patternFill>
      </fill>
    </dxf>
    <dxf>
      <border>
        <top style="medium">
          <color auto="1"/>
        </top>
      </border>
    </dxf>
    <dxf>
      <border>
        <bottom style="medium">
          <color auto="1"/>
        </bottom>
      </border>
    </dxf>
    <dxf>
      <border>
        <left style="medium">
          <color auto="1"/>
        </left>
        <bottom style="medium">
          <color auto="1"/>
        </bottom>
      </border>
    </dxf>
    <dxf>
      <border>
        <left style="medium">
          <color auto="1"/>
        </left>
        <bottom style="medium">
          <color auto="1"/>
        </bottom>
      </border>
    </dxf>
    <dxf>
      <border>
        <left style="medium">
          <color auto="1"/>
        </left>
        <top style="medium">
          <color auto="1"/>
        </top>
        <bottom style="medium">
          <color auto="1"/>
        </bottom>
      </border>
    </dxf>
    <dxf>
      <border>
        <right style="medium">
          <color auto="1"/>
        </right>
        <top style="medium">
          <color auto="1"/>
        </top>
        <bottom style="medium">
          <color auto="1"/>
        </bottom>
        <horizontal style="medium">
          <color auto="1"/>
        </horizontal>
      </border>
    </dxf>
    <dxf>
      <border>
        <left style="medium">
          <color auto="1"/>
        </left>
        <right style="medium">
          <color auto="1"/>
        </right>
        <top style="medium">
          <color auto="1"/>
        </top>
        <bottom style="medium">
          <color auto="1"/>
        </bottom>
        <horizontal style="medium">
          <color auto="1"/>
        </horizontal>
      </border>
    </dxf>
    <dxf>
      <border>
        <left style="medium">
          <color auto="1"/>
        </left>
        <right style="medium">
          <color auto="1"/>
        </right>
        <top style="medium">
          <color auto="1"/>
        </top>
        <bottom style="medium">
          <color auto="1"/>
        </bottom>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1" formatCode="0"/>
    </dxf>
    <dxf>
      <numFmt numFmtId="1" formatCode="0"/>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numFmt numFmtId="19" formatCode="dd/mm/yyyy"/>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border>
        <left style="medium">
          <color auto="1"/>
        </left>
        <right style="medium">
          <color auto="1"/>
        </right>
        <top style="medium">
          <color auto="1"/>
        </top>
        <bottom style="medium">
          <color auto="1"/>
        </bottom>
        <vertical style="medium">
          <color auto="1"/>
        </vertical>
        <horizontal style="medium">
          <color auto="1"/>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numFmt numFmtId="19" formatCode="dd/mm/yyyy"/>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rgb="FF000000"/>
        </top>
      </border>
    </dxf>
    <dxf>
      <border outline="0">
        <left style="thin">
          <color rgb="FF000000"/>
        </left>
        <right style="thin">
          <color rgb="FF000000"/>
        </right>
        <top style="thin">
          <color rgb="FF000000"/>
        </top>
        <bottom style="thin">
          <color rgb="FF000000"/>
        </bottom>
      </border>
    </dxf>
    <dxf>
      <alignment horizontal="center" vertical="center" textRotation="0" wrapText="0" indent="0" justifyLastLine="0" shrinkToFit="0" readingOrder="0"/>
    </dxf>
    <dxf>
      <border outline="0">
        <bottom style="thin">
          <color rgb="FF000000"/>
        </bottom>
      </border>
    </dxf>
    <dxf>
      <font>
        <b/>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font>
        <b/>
      </font>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medium">
          <color indexed="64"/>
        </left>
        <right style="medium">
          <color indexed="64"/>
        </right>
        <top style="medium">
          <color indexed="64"/>
        </top>
        <bottom style="medium">
          <color indexed="64"/>
        </bottom>
        <vertical style="medium">
          <color indexed="64"/>
        </vertical>
        <horizontal style="medium">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1" hidden="1"/>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style="thin">
          <color indexed="64"/>
        </horizontal>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protection locked="0" hidden="0"/>
    </dxf>
    <dxf>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numFmt numFmtId="19" formatCode="dd/mm/yyyy"/>
      <alignment horizontal="center" vertical="center" textRotation="0" wrapText="0" indent="0" justifyLastLine="0" shrinkToFit="0" readingOrder="0"/>
      <border diagonalUp="0" diagonalDown="0">
        <left/>
        <right style="thin">
          <color indexed="64"/>
        </right>
        <top style="thin">
          <color indexed="64"/>
        </top>
        <bottom style="thin">
          <color indexed="64"/>
        </bottom>
      </border>
      <protection locked="0" hidden="0"/>
    </dxf>
    <dxf>
      <border outline="0">
        <top style="thin">
          <color indexed="64"/>
        </top>
      </border>
    </dxf>
    <dxf>
      <border outline="0">
        <left style="thin">
          <color indexed="64"/>
        </left>
        <right style="thin">
          <color indexed="64"/>
        </right>
        <top style="thin">
          <color indexed="64"/>
        </top>
        <bottom style="thin">
          <color indexed="64"/>
        </bottom>
      </border>
    </dxf>
    <dxf>
      <alignment horizontal="center" vertical="center" textRotation="0" wrapText="0" indent="0" justifyLastLine="0" shrinkToFit="0" readingOrder="0"/>
    </dxf>
    <dxf>
      <border outline="0">
        <bottom style="thin">
          <color indexed="64"/>
        </bottom>
      </border>
    </dxf>
    <dxf>
      <font>
        <b/>
        <i val="0"/>
        <strike val="0"/>
        <condense val="0"/>
        <extend val="0"/>
        <outline val="0"/>
        <shadow val="0"/>
        <u val="none"/>
        <vertAlign val="baseline"/>
        <sz val="11"/>
        <color theme="1"/>
        <name val="Calibri"/>
        <scheme val="minor"/>
      </font>
      <fill>
        <patternFill patternType="solid">
          <fgColor indexed="64"/>
          <bgColor theme="9" tint="0.59999389629810485"/>
        </patternFill>
      </fill>
      <alignment horizontal="general" vertical="bottom" textRotation="0" wrapText="1" indent="0" justifyLastLine="0" shrinkToFit="0" readingOrder="0"/>
      <border diagonalUp="0" diagonalDown="0" outline="0">
        <left style="thin">
          <color indexed="64"/>
        </left>
        <right style="thin">
          <color indexed="64"/>
        </right>
        <top/>
        <bottom/>
      </border>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alignment horizontal="center" vertical="center" textRotation="0" wrapText="0" indent="0" justifyLastLine="0" shrinkToFit="0" readingOrder="0"/>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protection locked="1" hidden="1"/>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theme="1"/>
        <name val="Calibri"/>
        <scheme val="minor"/>
      </font>
      <fill>
        <gradientFill degree="45">
          <stop position="0">
            <color theme="9" tint="-0.25098422193060094"/>
          </stop>
          <stop position="0.5">
            <color theme="7" tint="-0.25098422193060094"/>
          </stop>
          <stop position="1">
            <color theme="9" tint="-0.25098422193060094"/>
          </stop>
        </gradient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numFmt numFmtId="0" formatCode="General"/>
      <border diagonalUp="0" diagonalDown="0">
        <left style="thin">
          <color indexed="64"/>
        </left>
        <right/>
        <top style="thin">
          <color indexed="64"/>
        </top>
        <bottom style="thin">
          <color indexed="64"/>
        </bottom>
        <vertical style="thin">
          <color indexed="64"/>
        </vertical>
        <horizontal style="thin">
          <color indexed="64"/>
        </horizontal>
      </border>
      <protection locked="1" hidden="1"/>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1" hidden="1"/>
    </dxf>
    <dxf>
      <font>
        <b/>
        <i val="0"/>
        <strike val="0"/>
        <condense val="0"/>
        <extend val="0"/>
        <outline val="0"/>
        <shadow val="0"/>
        <u val="none"/>
        <vertAlign val="baseline"/>
        <sz val="11"/>
        <color theme="1"/>
        <name val="Calibri"/>
        <scheme val="minor"/>
      </font>
      <fill>
        <gradientFill degree="45">
          <stop position="0">
            <color theme="9" tint="-0.25098422193060094"/>
          </stop>
          <stop position="0.5">
            <color theme="7" tint="-0.25098422193060094"/>
          </stop>
          <stop position="1">
            <color theme="9" tint="-0.25098422193060094"/>
          </stop>
        </gradient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border diagonalUp="0" diagonalDown="0">
        <left style="thin">
          <color indexed="64"/>
        </left>
        <right/>
        <top style="thin">
          <color indexed="64"/>
        </top>
        <bottom style="thin">
          <color indexed="64"/>
        </bottom>
        <vertical style="thin">
          <color indexed="64"/>
        </vertical>
        <horizontal style="thin">
          <color indexed="64"/>
        </horizontal>
      </border>
      <protection locked="0" hidden="0"/>
    </dxf>
    <dxf>
      <numFmt numFmtId="0" formatCode="General"/>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border diagonalUp="0" diagonalDown="0">
        <left style="thin">
          <color indexed="64"/>
        </left>
        <right style="thin">
          <color indexed="64"/>
        </right>
        <top style="thin">
          <color indexed="64"/>
        </top>
        <bottom style="thin">
          <color indexed="64"/>
        </bottom>
        <vertical style="thin">
          <color indexed="64"/>
        </vertical>
        <horizontal style="thin">
          <color indexed="64"/>
        </horizontal>
      </border>
      <protection locked="0" hidden="0"/>
    </dxf>
    <dxf>
      <font>
        <b/>
      </font>
      <fill>
        <gradientFill degree="45">
          <stop position="0">
            <color theme="9" tint="-0.25098422193060094"/>
          </stop>
          <stop position="0.5">
            <color theme="7" tint="-0.25098422193060094"/>
          </stop>
          <stop position="1">
            <color theme="9" tint="-0.25098422193060094"/>
          </stop>
        </gradient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protection locked="0" hidden="0"/>
    </dxf>
    <dxf>
      <border>
        <top style="thin">
          <color indexed="64"/>
        </top>
      </border>
    </dxf>
    <dxf>
      <border diagonalUp="0" diagonalDown="0">
        <left style="thin">
          <color indexed="64"/>
        </left>
        <right style="thin">
          <color indexed="64"/>
        </right>
        <top style="thin">
          <color indexed="64"/>
        </top>
        <bottom style="thin">
          <color indexed="64"/>
        </bottom>
      </border>
    </dxf>
    <dxf>
      <border>
        <bottom style="thin">
          <color indexed="64"/>
        </bottom>
      </border>
    </dxf>
    <dxf>
      <border diagonalUp="0" diagonalDown="0">
        <left style="thin">
          <color indexed="64"/>
        </left>
        <right style="thin">
          <color indexed="64"/>
        </right>
        <top/>
        <bottom/>
        <vertical style="thin">
          <color indexed="64"/>
        </vertical>
        <horizontal style="thin">
          <color indexed="64"/>
        </horizontal>
      </border>
    </dxf>
    <dxf>
      <alignment horizontal="left" vertical="center" textRotation="0" wrapText="0" indent="0" justifyLastLine="0" shrinkToFit="0" readingOrder="0"/>
      <border diagonalUp="0" diagonalDown="0">
        <left style="medium">
          <color auto="1"/>
        </left>
        <right style="medium">
          <color auto="1"/>
        </right>
        <top style="medium">
          <color auto="1"/>
        </top>
        <bottom style="medium">
          <color auto="1"/>
        </bottom>
      </border>
      <protection locked="1" hidden="1"/>
    </dxf>
    <dxf>
      <numFmt numFmtId="0" formatCode="General"/>
      <alignment horizontal="left" vertical="center" textRotation="0" wrapText="0" indent="0" justifyLastLine="0" shrinkToFit="0" readingOrder="0"/>
      <border diagonalUp="0" diagonalDown="0">
        <left style="medium">
          <color auto="1"/>
        </left>
        <right style="medium">
          <color auto="1"/>
        </right>
        <top style="medium">
          <color auto="1"/>
        </top>
        <bottom style="medium">
          <color auto="1"/>
        </bottom>
      </border>
      <protection locked="1" hidden="1"/>
    </dxf>
    <dxf>
      <numFmt numFmtId="0" formatCode="General"/>
      <alignment horizontal="left" vertical="center" textRotation="0" wrapText="0" indent="0" justifyLastLine="0" shrinkToFit="0" readingOrder="0"/>
      <border diagonalUp="0" diagonalDown="0">
        <left style="medium">
          <color auto="1"/>
        </left>
        <right style="medium">
          <color auto="1"/>
        </right>
        <top style="medium">
          <color auto="1"/>
        </top>
        <bottom style="medium">
          <color auto="1"/>
        </bottom>
      </border>
      <protection locked="1" hidden="1"/>
    </dxf>
    <dxf>
      <alignment horizontal="left" vertical="center" textRotation="0" wrapText="0" indent="0" justifyLastLine="0" shrinkToFit="0" readingOrder="0"/>
      <protection locked="1" hidden="1"/>
    </dxf>
    <dxf>
      <border>
        <bottom style="medium">
          <color auto="1"/>
        </bottom>
      </border>
    </dxf>
    <dxf>
      <border diagonalUp="0" diagonalDown="0">
        <left style="medium">
          <color auto="1"/>
        </left>
        <right style="medium">
          <color auto="1"/>
        </right>
        <top/>
        <bottom/>
        <vertical style="medium">
          <color auto="1"/>
        </vertical>
        <horizontal style="medium">
          <color auto="1"/>
        </horizontal>
      </border>
    </dxf>
    <dxf>
      <alignment horizontal="center" vertical="top" textRotation="0" wrapText="0" indent="0" justifyLastLine="0" shrinkToFit="0" readingOrder="0"/>
      <border diagonalUp="0" diagonalDown="0">
        <left style="medium">
          <color auto="1"/>
        </left>
        <right style="medium">
          <color auto="1"/>
        </right>
        <top style="medium">
          <color auto="1"/>
        </top>
        <bottom style="medium">
          <color auto="1"/>
        </bottom>
      </border>
      <protection locked="1" hidden="1"/>
    </dxf>
    <dxf>
      <numFmt numFmtId="0" formatCode="General"/>
      <alignment horizontal="center" vertical="top" textRotation="0" wrapText="0" indent="0" justifyLastLine="0" shrinkToFit="0" readingOrder="0"/>
      <border diagonalUp="0" diagonalDown="0">
        <left style="medium">
          <color auto="1"/>
        </left>
        <right style="medium">
          <color auto="1"/>
        </right>
        <top style="medium">
          <color auto="1"/>
        </top>
        <bottom style="medium">
          <color auto="1"/>
        </bottom>
      </border>
      <protection locked="1" hidden="1"/>
    </dxf>
    <dxf>
      <alignment horizontal="center" vertical="top" textRotation="0" wrapText="0" indent="0" justifyLastLine="0" shrinkToFit="0" readingOrder="0"/>
      <border diagonalUp="0" diagonalDown="0">
        <left style="medium">
          <color auto="1"/>
        </left>
        <right style="medium">
          <color auto="1"/>
        </right>
        <top style="medium">
          <color auto="1"/>
        </top>
        <bottom style="medium">
          <color auto="1"/>
        </bottom>
      </border>
      <protection locked="1" hidden="1"/>
    </dxf>
    <dxf>
      <numFmt numFmtId="0" formatCode="General"/>
      <alignment horizontal="center" vertical="top" textRotation="0" wrapText="0" indent="0" justifyLastLine="0" shrinkToFit="0" readingOrder="0"/>
      <border diagonalUp="0" diagonalDown="0">
        <left style="medium">
          <color auto="1"/>
        </left>
        <right style="medium">
          <color auto="1"/>
        </right>
        <top style="medium">
          <color auto="1"/>
        </top>
        <bottom style="medium">
          <color auto="1"/>
        </bottom>
      </border>
      <protection locked="1" hidden="1"/>
    </dxf>
    <dxf>
      <font>
        <b/>
      </font>
      <fill>
        <gradientFill degree="45">
          <stop position="0">
            <color theme="9" tint="-0.25098422193060094"/>
          </stop>
          <stop position="0.5">
            <color theme="7" tint="-0.25098422193060094"/>
          </stop>
          <stop position="1">
            <color theme="9" tint="-0.25098422193060094"/>
          </stop>
        </gradientFill>
      </fill>
      <alignment horizontal="center" vertical="center" textRotation="0" wrapText="0" indent="0" justifyLastLine="0" shrinkToFit="0" readingOrder="0"/>
      <border diagonalUp="0" diagonalDown="0">
        <left style="thin">
          <color indexed="64"/>
        </left>
        <right style="thin">
          <color indexed="64"/>
        </right>
        <top/>
        <bottom style="thin">
          <color indexed="64"/>
        </bottom>
        <vertical/>
        <horizontal/>
      </border>
      <protection locked="0" hidden="0"/>
    </dxf>
    <dxf>
      <alignment horizontal="center" vertical="top" textRotation="0" wrapText="0" indent="0" justifyLastLine="0" shrinkToFit="0" readingOrder="0"/>
      <protection locked="0" hidden="0"/>
    </dxf>
    <dxf>
      <border>
        <bottom style="medium">
          <color auto="1"/>
        </bottom>
      </border>
    </dxf>
    <dxf>
      <border diagonalUp="0" diagonalDown="0">
        <left style="medium">
          <color auto="1"/>
        </left>
        <right style="medium">
          <color auto="1"/>
        </right>
        <top/>
        <bottom/>
        <vertical style="medium">
          <color auto="1"/>
        </vertical>
        <horizontal/>
      </border>
    </dxf>
    <dxf>
      <font>
        <b val="0"/>
        <i val="0"/>
        <strike val="0"/>
        <condense val="0"/>
        <extend val="0"/>
        <outline val="0"/>
        <shadow val="0"/>
        <u val="none"/>
        <vertAlign val="baseline"/>
        <sz val="11"/>
        <color theme="2"/>
        <name val="Calibri"/>
        <scheme val="minor"/>
      </font>
      <fill>
        <patternFill patternType="solid">
          <fgColor indexed="64"/>
          <bgColor theme="1"/>
        </patternFill>
      </fil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strike val="0"/>
        <outline val="0"/>
        <shadow val="0"/>
        <u val="none"/>
        <vertAlign val="baseline"/>
        <sz val="1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strike val="0"/>
        <outline val="0"/>
        <shadow val="0"/>
        <u val="none"/>
        <vertAlign val="baseline"/>
        <sz val="1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strike val="0"/>
        <outline val="0"/>
        <shadow val="0"/>
        <u val="none"/>
        <vertAlign val="baseline"/>
        <sz val="11"/>
        <name val="Calibri"/>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1" hidden="1"/>
    </dxf>
    <dxf>
      <font>
        <strike val="0"/>
        <outline val="0"/>
        <shadow val="0"/>
        <u val="none"/>
        <vertAlign val="baseline"/>
        <sz val="1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name val="Calibri"/>
        <scheme val="minor"/>
      </font>
      <numFmt numFmtId="0" formatCode="General"/>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name val="Calibri"/>
        <scheme val="minor"/>
      </font>
      <alignment horizontal="center" vertical="center" textRotation="0" wrapText="0"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name val="Calibri"/>
        <scheme val="minor"/>
      </font>
      <alignment horizontal="center" vertical="center" textRotation="0" wrapText="1" indent="0" justifyLastLine="0" shrinkToFit="0" readingOrder="0"/>
      <border diagonalUp="0" diagonalDown="0">
        <left style="thin">
          <color indexed="64"/>
        </left>
        <right style="thin">
          <color indexed="64"/>
        </right>
        <top style="thin">
          <color indexed="64"/>
        </top>
        <bottom style="thin">
          <color indexed="64"/>
        </bottom>
      </border>
      <protection locked="0" hidden="0"/>
    </dxf>
    <dxf>
      <font>
        <strike val="0"/>
        <outline val="0"/>
        <shadow val="0"/>
        <u val="none"/>
        <vertAlign val="baseline"/>
        <sz val="11"/>
        <name val="Calibri"/>
        <scheme val="minor"/>
      </font>
      <border diagonalUp="0" diagonalDown="0">
        <left style="thin">
          <color indexed="64"/>
        </left>
        <right style="thin">
          <color indexed="64"/>
        </right>
        <top style="thin">
          <color indexed="64"/>
        </top>
        <bottom style="thin">
          <color indexed="64"/>
        </bottom>
      </border>
      <protection locked="0" hidden="0"/>
    </dxf>
    <dxf>
      <border outline="0">
        <top style="medium">
          <color indexed="64"/>
        </top>
        <bottom style="thin">
          <color indexed="64"/>
        </bottom>
      </border>
    </dxf>
    <dxf>
      <font>
        <strike val="0"/>
        <outline val="0"/>
        <shadow val="0"/>
        <u val="none"/>
        <vertAlign val="baseline"/>
        <sz val="11"/>
        <name val="Calibri"/>
        <scheme val="minor"/>
      </font>
      <alignment horizontal="center" vertical="center" textRotation="0" wrapText="0" indent="0" justifyLastLine="0" shrinkToFit="0" readingOrder="0"/>
    </dxf>
    <dxf>
      <font>
        <b val="0"/>
        <i val="0"/>
        <strike val="0"/>
        <condense val="0"/>
        <extend val="0"/>
        <outline val="0"/>
        <shadow val="0"/>
        <u val="none"/>
        <vertAlign val="baseline"/>
        <sz val="11"/>
        <color theme="1"/>
        <name val="Calibri"/>
        <scheme val="minor"/>
      </font>
      <fill>
        <patternFill patternType="solid">
          <fgColor indexed="64"/>
          <bgColor theme="7" tint="-0.249977111117893"/>
        </patternFill>
      </fill>
      <alignment horizontal="center" vertical="center" textRotation="0" wrapText="1" indent="0" justifyLastLine="0" shrinkToFit="0" readingOrder="0"/>
      <border diagonalUp="0" diagonalDown="0" outline="0">
        <left style="thin">
          <color indexed="64"/>
        </left>
        <right style="thin">
          <color indexed="64"/>
        </right>
        <top/>
        <bottom/>
      </border>
    </dxf>
  </dxfs>
  <tableStyles count="0" defaultTableStyle="TableStyleMedium2" defaultPivotStyle="PivotStyleLight16"/>
  <colors>
    <mruColors>
      <color rgb="FF35010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pivotCacheDefinition" Target="pivotCache/pivotCacheDefinition4.xml"/><Relationship Id="rId26" Type="http://schemas.microsoft.com/office/2007/relationships/slicerCache" Target="slicerCaches/slicerCache8.xml"/><Relationship Id="rId39" Type="http://schemas.microsoft.com/office/2011/relationships/timelineCache" Target="timelineCaches/timelineCache2.xml"/><Relationship Id="rId21" Type="http://schemas.microsoft.com/office/2007/relationships/slicerCache" Target="slicerCaches/slicerCache3.xml"/><Relationship Id="rId34" Type="http://schemas.microsoft.com/office/2007/relationships/slicerCache" Target="slicerCaches/slicerCache16.xml"/><Relationship Id="rId42"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2.xml"/><Relationship Id="rId29" Type="http://schemas.microsoft.com/office/2007/relationships/slicerCache" Target="slicerCaches/slicerCache1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07/relationships/slicerCache" Target="slicerCaches/slicerCache6.xml"/><Relationship Id="rId32" Type="http://schemas.microsoft.com/office/2007/relationships/slicerCache" Target="slicerCaches/slicerCache14.xml"/><Relationship Id="rId37" Type="http://schemas.microsoft.com/office/2007/relationships/slicerCache" Target="slicerCaches/slicerCache19.xml"/><Relationship Id="rId40" Type="http://schemas.microsoft.com/office/2011/relationships/timelineCache" Target="timelineCaches/timelineCache3.xml"/><Relationship Id="rId45" Type="http://schemas.openxmlformats.org/officeDocument/2006/relationships/calcChain" Target="calcChain.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23" Type="http://schemas.microsoft.com/office/2007/relationships/slicerCache" Target="slicerCaches/slicerCache5.xml"/><Relationship Id="rId28" Type="http://schemas.microsoft.com/office/2007/relationships/slicerCache" Target="slicerCaches/slicerCache10.xml"/><Relationship Id="rId36" Type="http://schemas.microsoft.com/office/2007/relationships/slicerCache" Target="slicerCaches/slicerCache18.xml"/><Relationship Id="rId10" Type="http://schemas.openxmlformats.org/officeDocument/2006/relationships/worksheet" Target="worksheets/sheet10.xml"/><Relationship Id="rId19" Type="http://schemas.microsoft.com/office/2007/relationships/slicerCache" Target="slicerCaches/slicerCache1.xml"/><Relationship Id="rId31" Type="http://schemas.microsoft.com/office/2007/relationships/slicerCache" Target="slicerCaches/slicerCache13.xml"/><Relationship Id="rId44"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microsoft.com/office/2007/relationships/slicerCache" Target="slicerCaches/slicerCache4.xml"/><Relationship Id="rId27" Type="http://schemas.microsoft.com/office/2007/relationships/slicerCache" Target="slicerCaches/slicerCache9.xml"/><Relationship Id="rId30" Type="http://schemas.microsoft.com/office/2007/relationships/slicerCache" Target="slicerCaches/slicerCache12.xml"/><Relationship Id="rId35" Type="http://schemas.microsoft.com/office/2007/relationships/slicerCache" Target="slicerCaches/slicerCache17.xml"/><Relationship Id="rId43" Type="http://schemas.openxmlformats.org/officeDocument/2006/relationships/styles" Target="styles.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pivotCacheDefinition" Target="pivotCache/pivotCacheDefinition3.xml"/><Relationship Id="rId25" Type="http://schemas.microsoft.com/office/2007/relationships/slicerCache" Target="slicerCaches/slicerCache7.xml"/><Relationship Id="rId33" Type="http://schemas.microsoft.com/office/2007/relationships/slicerCache" Target="slicerCaches/slicerCache15.xml"/><Relationship Id="rId38" Type="http://schemas.microsoft.com/office/2011/relationships/timelineCache" Target="timelineCaches/timelineCache1.xml"/><Relationship Id="rId20" Type="http://schemas.microsoft.com/office/2007/relationships/slicerCache" Target="slicerCaches/slicerCache2.xml"/><Relationship Id="rId41" Type="http://schemas.microsoft.com/office/2011/relationships/timelineCache" Target="timelineCaches/timeline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[Official Master Stock Control Sheet SF-Computer &amp; Maintenance Stores REVISING.xlsx]STORE PERFORMANCE!PivotTable1</c:name>
    <c:fmtId val="20"/>
  </c:pivotSource>
  <c:chart>
    <c:autoTitleDeleted val="0"/>
    <c:pivotFmts>
      <c:pivotFmt>
        <c:idx val="0"/>
        <c:spPr>
          <a:solidFill>
            <a:srgbClr val="FF0000"/>
          </a:solidFill>
          <a:ln>
            <a:solidFill>
              <a:srgbClr val="FF0000"/>
            </a:solid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contourClr>
              <a:srgbClr val="FF0000"/>
            </a:contourClr>
          </a:sp3d>
        </c:spPr>
        <c:marker>
          <c:symbol val="none"/>
        </c:marker>
      </c:pivotFmt>
      <c:pivotFmt>
        <c:idx val="1"/>
        <c:spPr>
          <a:solidFill>
            <a:schemeClr val="accent6">
              <a:lumMod val="75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percentStacked"/>
        <c:varyColors val="0"/>
        <c:ser>
          <c:idx val="0"/>
          <c:order val="0"/>
          <c:tx>
            <c:strRef>
              <c:f>'STORE PERFORMANCE'!$K$2</c:f>
              <c:strCache>
                <c:ptCount val="1"/>
                <c:pt idx="0">
                  <c:v>Sum of Value of Deficiency</c:v>
                </c:pt>
              </c:strCache>
            </c:strRef>
          </c:tx>
          <c:spPr>
            <a:solidFill>
              <a:srgbClr val="FF0000"/>
            </a:solidFill>
            <a:ln>
              <a:solidFill>
                <a:srgbClr val="FF0000"/>
              </a:solid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contourClr>
                <a:srgbClr val="FF0000"/>
              </a:contourClr>
            </a:sp3d>
          </c:spPr>
          <c:invertIfNegative val="0"/>
          <c:cat>
            <c:strRef>
              <c:f>'STORE PERFORMANCE'!$J$3</c:f>
              <c:strCache>
                <c:ptCount val="1"/>
                <c:pt idx="0">
                  <c:v>Grand Total</c:v>
                </c:pt>
              </c:strCache>
            </c:strRef>
          </c:cat>
          <c:val>
            <c:numRef>
              <c:f>'STORE PERFORMANCE'!$K$3</c:f>
              <c:numCache>
                <c:formatCode>0.00%</c:formatCode>
                <c:ptCount val="1"/>
                <c:pt idx="0">
                  <c:v>#N/A</c:v>
                </c:pt>
              </c:numCache>
            </c:numRef>
          </c:val>
          <c:extLst>
            <c:ext xmlns:c16="http://schemas.microsoft.com/office/drawing/2014/chart" uri="{C3380CC4-5D6E-409C-BE32-E72D297353CC}">
              <c16:uniqueId val="{00000000-BA85-4FA2-8880-C32436200DB3}"/>
            </c:ext>
          </c:extLst>
        </c:ser>
        <c:ser>
          <c:idx val="1"/>
          <c:order val="1"/>
          <c:tx>
            <c:strRef>
              <c:f>'STORE PERFORMANCE'!$L$2</c:f>
              <c:strCache>
                <c:ptCount val="1"/>
                <c:pt idx="0">
                  <c:v>Sum of Value of Surplus</c:v>
                </c:pt>
              </c:strCache>
            </c:strRef>
          </c:tx>
          <c:spPr>
            <a:solidFill>
              <a:schemeClr val="accent6">
                <a:lumMod val="75000"/>
              </a:schemeClr>
            </a:soli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cat>
            <c:strRef>
              <c:f>'STORE PERFORMANCE'!$J$3</c:f>
              <c:strCache>
                <c:ptCount val="1"/>
                <c:pt idx="0">
                  <c:v>Grand Total</c:v>
                </c:pt>
              </c:strCache>
            </c:strRef>
          </c:cat>
          <c:val>
            <c:numRef>
              <c:f>'STORE PERFORMANCE'!$L$3</c:f>
              <c:numCache>
                <c:formatCode>0.00%</c:formatCode>
                <c:ptCount val="1"/>
                <c:pt idx="0">
                  <c:v>#N/A</c:v>
                </c:pt>
              </c:numCache>
            </c:numRef>
          </c:val>
          <c:extLst>
            <c:ext xmlns:c16="http://schemas.microsoft.com/office/drawing/2014/chart" uri="{C3380CC4-5D6E-409C-BE32-E72D297353CC}">
              <c16:uniqueId val="{00000001-BA85-4FA2-8880-C32436200DB3}"/>
            </c:ext>
          </c:extLst>
        </c:ser>
        <c:dLbls>
          <c:showLegendKey val="0"/>
          <c:showVal val="0"/>
          <c:showCatName val="0"/>
          <c:showSerName val="0"/>
          <c:showPercent val="0"/>
          <c:showBubbleSize val="0"/>
        </c:dLbls>
        <c:gapWidth val="150"/>
        <c:shape val="box"/>
        <c:axId val="870441808"/>
        <c:axId val="1097087648"/>
        <c:axId val="0"/>
      </c:bar3DChart>
      <c:valAx>
        <c:axId val="1097087648"/>
        <c:scaling>
          <c:orientation val="minMax"/>
        </c:scaling>
        <c:delete val="0"/>
        <c:axPos val="r"/>
        <c:majorGridlines>
          <c:spPr>
            <a:ln w="9525" cap="flat" cmpd="sng" algn="ctr">
              <a:solidFill>
                <a:schemeClr val="dk1">
                  <a:lumMod val="50000"/>
                  <a:lumOff val="50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870441808"/>
        <c:crosses val="max"/>
        <c:crossBetween val="between"/>
      </c:valAx>
      <c:catAx>
        <c:axId val="870441808"/>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097087648"/>
        <c:crosses val="autoZero"/>
        <c:auto val="1"/>
        <c:lblAlgn val="ctr"/>
        <c:lblOffset val="100"/>
        <c:noMultiLvlLbl val="0"/>
      </c:cat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[Official Master Stock Control Sheet SF-Computer &amp; Maintenance Stores REVISING.xlsx]AVERAGE CONSUMPTION!PivotTable1</c:name>
    <c:fmtId val="2"/>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AVERAGE CONSUMPTION</a:t>
            </a:r>
          </a:p>
        </c:rich>
      </c:tx>
      <c:layout/>
      <c:overlay val="0"/>
      <c:spPr>
        <a:gradFill flip="none" rotWithShape="1">
          <a:gsLst>
            <a:gs pos="45000">
              <a:schemeClr val="accent4">
                <a:lumMod val="0"/>
                <a:lumOff val="100000"/>
              </a:schemeClr>
            </a:gs>
            <a:gs pos="38080">
              <a:srgbClr val="FFFFFF"/>
            </a:gs>
            <a:gs pos="23000">
              <a:schemeClr val="accent4">
                <a:lumMod val="0"/>
                <a:lumOff val="100000"/>
              </a:schemeClr>
            </a:gs>
            <a:gs pos="100000">
              <a:schemeClr val="accent4">
                <a:lumMod val="100000"/>
              </a:schemeClr>
            </a:gs>
          </a:gsLst>
          <a:path path="circle">
            <a:fillToRect l="50000" t="-80000" r="50000" b="180000"/>
          </a:path>
          <a:tileRect/>
        </a:gra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manualLayout>
          <c:layoutTarget val="inner"/>
          <c:xMode val="edge"/>
          <c:yMode val="edge"/>
          <c:x val="0.21493351137051925"/>
          <c:y val="0.19606458767122195"/>
          <c:w val="0.77627147331055291"/>
          <c:h val="0.80393544608576817"/>
        </c:manualLayout>
      </c:layout>
      <c:barChart>
        <c:barDir val="bar"/>
        <c:grouping val="clustered"/>
        <c:varyColors val="0"/>
        <c:ser>
          <c:idx val="0"/>
          <c:order val="0"/>
          <c:tx>
            <c:strRef>
              <c:f>'AVERAGE CONSUMPTION'!$B$6:$B$7</c:f>
              <c:strCache>
                <c:ptCount val="1"/>
                <c:pt idx="0">
                  <c:v>Issue</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delete val="1"/>
          </c:dLbls>
          <c:cat>
            <c:multiLvlStrRef>
              <c:f>'AVERAGE CONSUMPTION'!$A$8:$A$138</c:f>
              <c:multiLvlStrCache>
                <c:ptCount val="115"/>
                <c:lvl>
                  <c:pt idx="0">
                    <c:v>CITY CENTRE</c:v>
                  </c:pt>
                  <c:pt idx="1">
                    <c:v>UKUNDA</c:v>
                  </c:pt>
                  <c:pt idx="2">
                    <c:v>MACHAKOS</c:v>
                  </c:pt>
                  <c:pt idx="3">
                    <c:v>HILL BRANCH</c:v>
                  </c:pt>
                  <c:pt idx="4">
                    <c:v>MOMBASA</c:v>
                  </c:pt>
                  <c:pt idx="5">
                    <c:v>KAKAMEGA</c:v>
                  </c:pt>
                  <c:pt idx="6">
                    <c:v>KIAMBU</c:v>
                  </c:pt>
                  <c:pt idx="7">
                    <c:v>ELDORET</c:v>
                  </c:pt>
                  <c:pt idx="8">
                    <c:v>MTWAPA</c:v>
                  </c:pt>
                  <c:pt idx="9">
                    <c:v>KITENGELA</c:v>
                  </c:pt>
                  <c:pt idx="10">
                    <c:v>REGISTRATION &amp; COMPLIANCE</c:v>
                  </c:pt>
                  <c:pt idx="11">
                    <c:v>INDUSTRIAL AREA</c:v>
                  </c:pt>
                  <c:pt idx="12">
                    <c:v>DONHOLM</c:v>
                  </c:pt>
                  <c:pt idx="13">
                    <c:v>NAKURU</c:v>
                  </c:pt>
                  <c:pt idx="14">
                    <c:v>KITUI</c:v>
                  </c:pt>
                  <c:pt idx="15">
                    <c:v>THIKA</c:v>
                  </c:pt>
                  <c:pt idx="16">
                    <c:v>CITY CENTRE</c:v>
                  </c:pt>
                  <c:pt idx="17">
                    <c:v>MACHAKOS</c:v>
                  </c:pt>
                  <c:pt idx="18">
                    <c:v>HILL BRANCH</c:v>
                  </c:pt>
                  <c:pt idx="19">
                    <c:v>MOMBASA</c:v>
                  </c:pt>
                  <c:pt idx="20">
                    <c:v>KIAMBU</c:v>
                  </c:pt>
                  <c:pt idx="21">
                    <c:v>ELDORET</c:v>
                  </c:pt>
                  <c:pt idx="22">
                    <c:v>MTWAPA</c:v>
                  </c:pt>
                  <c:pt idx="23">
                    <c:v>KITENGELA</c:v>
                  </c:pt>
                  <c:pt idx="24">
                    <c:v>INDUSTRIAL AREA</c:v>
                  </c:pt>
                  <c:pt idx="25">
                    <c:v>DONHOLM</c:v>
                  </c:pt>
                  <c:pt idx="26">
                    <c:v>NAKURU</c:v>
                  </c:pt>
                  <c:pt idx="27">
                    <c:v>KAKAMEGA</c:v>
                  </c:pt>
                  <c:pt idx="28">
                    <c:v>CITY CENTRE</c:v>
                  </c:pt>
                  <c:pt idx="29">
                    <c:v>MOMBASA</c:v>
                  </c:pt>
                  <c:pt idx="30">
                    <c:v>KAKAMEGA</c:v>
                  </c:pt>
                  <c:pt idx="31">
                    <c:v>KIAMBU</c:v>
                  </c:pt>
                  <c:pt idx="32">
                    <c:v>ELDORET</c:v>
                  </c:pt>
                  <c:pt idx="33">
                    <c:v>MTWAPA</c:v>
                  </c:pt>
                  <c:pt idx="34">
                    <c:v>HOMABAY</c:v>
                  </c:pt>
                  <c:pt idx="35">
                    <c:v>KITENGELA</c:v>
                  </c:pt>
                  <c:pt idx="36">
                    <c:v>WESTLANDS</c:v>
                  </c:pt>
                  <c:pt idx="37">
                    <c:v>THIKA</c:v>
                  </c:pt>
                  <c:pt idx="38">
                    <c:v>CITY CENTRE</c:v>
                  </c:pt>
                  <c:pt idx="39">
                    <c:v>UKUNDA</c:v>
                  </c:pt>
                  <c:pt idx="40">
                    <c:v>KAKAMEGA</c:v>
                  </c:pt>
                  <c:pt idx="41">
                    <c:v>KIAMBU</c:v>
                  </c:pt>
                  <c:pt idx="42">
                    <c:v>KITENGELA</c:v>
                  </c:pt>
                  <c:pt idx="43">
                    <c:v>WESTLANDS</c:v>
                  </c:pt>
                  <c:pt idx="44">
                    <c:v>THIKA</c:v>
                  </c:pt>
                  <c:pt idx="45">
                    <c:v>MACHAKOS</c:v>
                  </c:pt>
                  <c:pt idx="46">
                    <c:v>HILL BRANCH</c:v>
                  </c:pt>
                  <c:pt idx="47">
                    <c:v>MOMBASA</c:v>
                  </c:pt>
                  <c:pt idx="48">
                    <c:v>KAKAMEGA</c:v>
                  </c:pt>
                  <c:pt idx="49">
                    <c:v>KIAMBU</c:v>
                  </c:pt>
                  <c:pt idx="50">
                    <c:v>EASTLEIGH</c:v>
                  </c:pt>
                  <c:pt idx="51">
                    <c:v>MTWAPA</c:v>
                  </c:pt>
                  <c:pt idx="52">
                    <c:v>HOMABAY</c:v>
                  </c:pt>
                  <c:pt idx="53">
                    <c:v>KITENGELA</c:v>
                  </c:pt>
                  <c:pt idx="54">
                    <c:v>INDUSTRIAL AREA</c:v>
                  </c:pt>
                  <c:pt idx="55">
                    <c:v>NAKURU</c:v>
                  </c:pt>
                  <c:pt idx="56">
                    <c:v>WESTLANDS</c:v>
                  </c:pt>
                  <c:pt idx="57">
                    <c:v>THIKA</c:v>
                  </c:pt>
                  <c:pt idx="58">
                    <c:v>UKUNDA</c:v>
                  </c:pt>
                  <c:pt idx="59">
                    <c:v>MACHAKOS</c:v>
                  </c:pt>
                  <c:pt idx="60">
                    <c:v>HILL BRANCH</c:v>
                  </c:pt>
                  <c:pt idx="61">
                    <c:v>KAKAMEGA</c:v>
                  </c:pt>
                  <c:pt idx="62">
                    <c:v>KIAMBU</c:v>
                  </c:pt>
                  <c:pt idx="63">
                    <c:v>ELDORET</c:v>
                  </c:pt>
                  <c:pt idx="64">
                    <c:v>EASTLEIGH</c:v>
                  </c:pt>
                  <c:pt idx="65">
                    <c:v>MTWAPA</c:v>
                  </c:pt>
                  <c:pt idx="66">
                    <c:v>HOMABAY</c:v>
                  </c:pt>
                  <c:pt idx="67">
                    <c:v>KITENGELA</c:v>
                  </c:pt>
                  <c:pt idx="68">
                    <c:v>INDUSTRIAL AREA</c:v>
                  </c:pt>
                  <c:pt idx="69">
                    <c:v>DONHOLM</c:v>
                  </c:pt>
                  <c:pt idx="70">
                    <c:v>NAKURU</c:v>
                  </c:pt>
                  <c:pt idx="71">
                    <c:v>WESTLANDS</c:v>
                  </c:pt>
                  <c:pt idx="72">
                    <c:v>THIKA</c:v>
                  </c:pt>
                  <c:pt idx="73">
                    <c:v>CITY CENTRE</c:v>
                  </c:pt>
                  <c:pt idx="74">
                    <c:v>UKUNDA</c:v>
                  </c:pt>
                  <c:pt idx="75">
                    <c:v>KIAMBU</c:v>
                  </c:pt>
                  <c:pt idx="76">
                    <c:v>ELDORET</c:v>
                  </c:pt>
                  <c:pt idx="77">
                    <c:v>EASTLEIGH</c:v>
                  </c:pt>
                  <c:pt idx="78">
                    <c:v>HOMABAY</c:v>
                  </c:pt>
                  <c:pt idx="79">
                    <c:v>NAKURU</c:v>
                  </c:pt>
                  <c:pt idx="80">
                    <c:v>FINANCE</c:v>
                  </c:pt>
                  <c:pt idx="81">
                    <c:v>INVESTMENTS</c:v>
                  </c:pt>
                  <c:pt idx="82">
                    <c:v>STRATEGY &amp; CHANGE</c:v>
                  </c:pt>
                  <c:pt idx="83">
                    <c:v>REGISTRATION &amp; COMPLIANCE</c:v>
                  </c:pt>
                  <c:pt idx="84">
                    <c:v>GM HR/ADM</c:v>
                  </c:pt>
                  <c:pt idx="85">
                    <c:v>HR TALENT ACQUISITION</c:v>
                  </c:pt>
                  <c:pt idx="86">
                    <c:v>PROPERTY DEVELOPMENT</c:v>
                  </c:pt>
                  <c:pt idx="87">
                    <c:v>ETHICS &amp; INTEGRITY</c:v>
                  </c:pt>
                  <c:pt idx="88">
                    <c:v>MEMBER RECORDS</c:v>
                  </c:pt>
                  <c:pt idx="89">
                    <c:v>RISK MANAGEMENT</c:v>
                  </c:pt>
                  <c:pt idx="90">
                    <c:v>FINANCE</c:v>
                  </c:pt>
                  <c:pt idx="91">
                    <c:v>INVESTMENTS</c:v>
                  </c:pt>
                  <c:pt idx="92">
                    <c:v>REGISTRATION &amp; COMPLIANCE</c:v>
                  </c:pt>
                  <c:pt idx="93">
                    <c:v>GM HR/ADM</c:v>
                  </c:pt>
                  <c:pt idx="94">
                    <c:v>HUMAN CAPITAL/HR</c:v>
                  </c:pt>
                  <c:pt idx="95">
                    <c:v>HR TALENT ACQUISITION</c:v>
                  </c:pt>
                  <c:pt idx="96">
                    <c:v>ETHICS &amp; INTEGRITY</c:v>
                  </c:pt>
                  <c:pt idx="97">
                    <c:v>PROPERTY MANAGEMENT</c:v>
                  </c:pt>
                  <c:pt idx="98">
                    <c:v>ADMINISTRATION</c:v>
                  </c:pt>
                  <c:pt idx="99">
                    <c:v>MEMBER RECORDS</c:v>
                  </c:pt>
                  <c:pt idx="100">
                    <c:v>THIKA</c:v>
                  </c:pt>
                  <c:pt idx="101">
                    <c:v>MACHAKOS</c:v>
                  </c:pt>
                  <c:pt idx="102">
                    <c:v>MOMBASA</c:v>
                  </c:pt>
                  <c:pt idx="103">
                    <c:v>KAKAMEGA</c:v>
                  </c:pt>
                  <c:pt idx="104">
                    <c:v>ELDORET</c:v>
                  </c:pt>
                  <c:pt idx="105">
                    <c:v>EASTLEIGH</c:v>
                  </c:pt>
                  <c:pt idx="106">
                    <c:v>MTWAPA</c:v>
                  </c:pt>
                  <c:pt idx="107">
                    <c:v>HOMABAY</c:v>
                  </c:pt>
                  <c:pt idx="108">
                    <c:v>REGISTRATION &amp; COMPLIANCE</c:v>
                  </c:pt>
                  <c:pt idx="109">
                    <c:v>PROPERTY MANAGEMENT</c:v>
                  </c:pt>
                  <c:pt idx="110">
                    <c:v>MOMBASA</c:v>
                  </c:pt>
                  <c:pt idx="111">
                    <c:v>MTWAPA</c:v>
                  </c:pt>
                  <c:pt idx="112">
                    <c:v>HUMAN CAPITAL/HR</c:v>
                  </c:pt>
                  <c:pt idx="113">
                    <c:v>HOMABAY</c:v>
                  </c:pt>
                  <c:pt idx="114">
                    <c:v>NAKURU</c:v>
                  </c:pt>
                </c:lvl>
                <c:lvl>
                  <c:pt idx="0">
                    <c:v>Membership Cards (Blank)</c:v>
                  </c:pt>
                  <c:pt idx="15">
                    <c:v>Laminating Pouches</c:v>
                  </c:pt>
                  <c:pt idx="27">
                    <c:v>Schedule of Contribution</c:v>
                  </c:pt>
                  <c:pt idx="28">
                    <c:v>Fingerprint Forms SF/003</c:v>
                  </c:pt>
                  <c:pt idx="36">
                    <c:v>App. For Employer SF/001</c:v>
                  </c:pt>
                  <c:pt idx="43">
                    <c:v>Payment of Benefit Forms/004</c:v>
                  </c:pt>
                  <c:pt idx="56">
                    <c:v>Ben. App. Forms SF/001</c:v>
                  </c:pt>
                  <c:pt idx="71">
                    <c:v>Registration Gen. Folders</c:v>
                  </c:pt>
                  <c:pt idx="80">
                    <c:v>Envelopes A4</c:v>
                  </c:pt>
                  <c:pt idx="90">
                    <c:v>Envelopes A5</c:v>
                  </c:pt>
                  <c:pt idx="100">
                    <c:v>Survivor Ben. Form</c:v>
                  </c:pt>
                  <c:pt idx="108">
                    <c:v>Envelopes A3 (16*12) White</c:v>
                  </c:pt>
                  <c:pt idx="110">
                    <c:v>Funeral Grant Forms 006</c:v>
                  </c:pt>
                  <c:pt idx="112">
                    <c:v>Finance Account Folders</c:v>
                  </c:pt>
                  <c:pt idx="113">
                    <c:v>Emigration Benefit Folders</c:v>
                  </c:pt>
                </c:lvl>
              </c:multiLvlStrCache>
            </c:multiLvlStrRef>
          </c:cat>
          <c:val>
            <c:numRef>
              <c:f>'AVERAGE CONSUMPTION'!$B$8:$B$138</c:f>
              <c:numCache>
                <c:formatCode>General</c:formatCode>
                <c:ptCount val="115"/>
                <c:pt idx="0">
                  <c:v>3000</c:v>
                </c:pt>
                <c:pt idx="1">
                  <c:v>2000</c:v>
                </c:pt>
                <c:pt idx="2">
                  <c:v>1000</c:v>
                </c:pt>
                <c:pt idx="3">
                  <c:v>4000</c:v>
                </c:pt>
                <c:pt idx="4">
                  <c:v>3000</c:v>
                </c:pt>
                <c:pt idx="5">
                  <c:v>3000</c:v>
                </c:pt>
                <c:pt idx="6">
                  <c:v>3000</c:v>
                </c:pt>
                <c:pt idx="7">
                  <c:v>3000</c:v>
                </c:pt>
                <c:pt idx="8">
                  <c:v>2000</c:v>
                </c:pt>
                <c:pt idx="9">
                  <c:v>3000</c:v>
                </c:pt>
                <c:pt idx="10">
                  <c:v>1000</c:v>
                </c:pt>
                <c:pt idx="12">
                  <c:v>3000</c:v>
                </c:pt>
                <c:pt idx="13">
                  <c:v>6000</c:v>
                </c:pt>
                <c:pt idx="14">
                  <c:v>1000</c:v>
                </c:pt>
                <c:pt idx="15">
                  <c:v>4000</c:v>
                </c:pt>
                <c:pt idx="16">
                  <c:v>3000</c:v>
                </c:pt>
                <c:pt idx="17">
                  <c:v>2000</c:v>
                </c:pt>
                <c:pt idx="18">
                  <c:v>2000</c:v>
                </c:pt>
                <c:pt idx="19">
                  <c:v>3000</c:v>
                </c:pt>
                <c:pt idx="20">
                  <c:v>100</c:v>
                </c:pt>
                <c:pt idx="21">
                  <c:v>2000</c:v>
                </c:pt>
                <c:pt idx="22">
                  <c:v>2000</c:v>
                </c:pt>
                <c:pt idx="23">
                  <c:v>3000</c:v>
                </c:pt>
                <c:pt idx="25">
                  <c:v>3000</c:v>
                </c:pt>
                <c:pt idx="26">
                  <c:v>2000</c:v>
                </c:pt>
                <c:pt idx="27">
                  <c:v>1000</c:v>
                </c:pt>
                <c:pt idx="28">
                  <c:v>500</c:v>
                </c:pt>
                <c:pt idx="29">
                  <c:v>500</c:v>
                </c:pt>
                <c:pt idx="30">
                  <c:v>500</c:v>
                </c:pt>
                <c:pt idx="31">
                  <c:v>500</c:v>
                </c:pt>
                <c:pt idx="32">
                  <c:v>500</c:v>
                </c:pt>
                <c:pt idx="33">
                  <c:v>500</c:v>
                </c:pt>
                <c:pt idx="34">
                  <c:v>500</c:v>
                </c:pt>
                <c:pt idx="35">
                  <c:v>500</c:v>
                </c:pt>
                <c:pt idx="36">
                  <c:v>500</c:v>
                </c:pt>
                <c:pt idx="37">
                  <c:v>500</c:v>
                </c:pt>
                <c:pt idx="38">
                  <c:v>500</c:v>
                </c:pt>
                <c:pt idx="39">
                  <c:v>500</c:v>
                </c:pt>
                <c:pt idx="40">
                  <c:v>500</c:v>
                </c:pt>
                <c:pt idx="41">
                  <c:v>500</c:v>
                </c:pt>
                <c:pt idx="42">
                  <c:v>500</c:v>
                </c:pt>
                <c:pt idx="43">
                  <c:v>500</c:v>
                </c:pt>
                <c:pt idx="44">
                  <c:v>500</c:v>
                </c:pt>
                <c:pt idx="45">
                  <c:v>500</c:v>
                </c:pt>
                <c:pt idx="46">
                  <c:v>500</c:v>
                </c:pt>
                <c:pt idx="47">
                  <c:v>500</c:v>
                </c:pt>
                <c:pt idx="48">
                  <c:v>500</c:v>
                </c:pt>
                <c:pt idx="49">
                  <c:v>400</c:v>
                </c:pt>
                <c:pt idx="50">
                  <c:v>300</c:v>
                </c:pt>
                <c:pt idx="51">
                  <c:v>100</c:v>
                </c:pt>
                <c:pt idx="52">
                  <c:v>500</c:v>
                </c:pt>
                <c:pt idx="53">
                  <c:v>500</c:v>
                </c:pt>
                <c:pt idx="55">
                  <c:v>500</c:v>
                </c:pt>
                <c:pt idx="56">
                  <c:v>400</c:v>
                </c:pt>
                <c:pt idx="57">
                  <c:v>500</c:v>
                </c:pt>
                <c:pt idx="58">
                  <c:v>400</c:v>
                </c:pt>
                <c:pt idx="59">
                  <c:v>300</c:v>
                </c:pt>
                <c:pt idx="60">
                  <c:v>500</c:v>
                </c:pt>
                <c:pt idx="61">
                  <c:v>300</c:v>
                </c:pt>
                <c:pt idx="62">
                  <c:v>300</c:v>
                </c:pt>
                <c:pt idx="63">
                  <c:v>500</c:v>
                </c:pt>
                <c:pt idx="64">
                  <c:v>300</c:v>
                </c:pt>
                <c:pt idx="65">
                  <c:v>150</c:v>
                </c:pt>
                <c:pt idx="66">
                  <c:v>300</c:v>
                </c:pt>
                <c:pt idx="67">
                  <c:v>400</c:v>
                </c:pt>
                <c:pt idx="68">
                  <c:v>500</c:v>
                </c:pt>
                <c:pt idx="69">
                  <c:v>500</c:v>
                </c:pt>
                <c:pt idx="70">
                  <c:v>500</c:v>
                </c:pt>
                <c:pt idx="71">
                  <c:v>300</c:v>
                </c:pt>
                <c:pt idx="72">
                  <c:v>300</c:v>
                </c:pt>
                <c:pt idx="73">
                  <c:v>300</c:v>
                </c:pt>
                <c:pt idx="74">
                  <c:v>200</c:v>
                </c:pt>
                <c:pt idx="75">
                  <c:v>250</c:v>
                </c:pt>
                <c:pt idx="76">
                  <c:v>300</c:v>
                </c:pt>
                <c:pt idx="77">
                  <c:v>200</c:v>
                </c:pt>
                <c:pt idx="78">
                  <c:v>300</c:v>
                </c:pt>
                <c:pt idx="79">
                  <c:v>300</c:v>
                </c:pt>
                <c:pt idx="80">
                  <c:v>200</c:v>
                </c:pt>
                <c:pt idx="81">
                  <c:v>200</c:v>
                </c:pt>
                <c:pt idx="82">
                  <c:v>300</c:v>
                </c:pt>
                <c:pt idx="83">
                  <c:v>200</c:v>
                </c:pt>
                <c:pt idx="84">
                  <c:v>500</c:v>
                </c:pt>
                <c:pt idx="85">
                  <c:v>500</c:v>
                </c:pt>
                <c:pt idx="86">
                  <c:v>100</c:v>
                </c:pt>
                <c:pt idx="87">
                  <c:v>100</c:v>
                </c:pt>
                <c:pt idx="88">
                  <c:v>100</c:v>
                </c:pt>
                <c:pt idx="89">
                  <c:v>200</c:v>
                </c:pt>
                <c:pt idx="90">
                  <c:v>200</c:v>
                </c:pt>
                <c:pt idx="91">
                  <c:v>200</c:v>
                </c:pt>
                <c:pt idx="92">
                  <c:v>100</c:v>
                </c:pt>
                <c:pt idx="93">
                  <c:v>500</c:v>
                </c:pt>
                <c:pt idx="94">
                  <c:v>200</c:v>
                </c:pt>
                <c:pt idx="95">
                  <c:v>500</c:v>
                </c:pt>
                <c:pt idx="96">
                  <c:v>50</c:v>
                </c:pt>
                <c:pt idx="97">
                  <c:v>10</c:v>
                </c:pt>
                <c:pt idx="98">
                  <c:v>50</c:v>
                </c:pt>
                <c:pt idx="99">
                  <c:v>100</c:v>
                </c:pt>
                <c:pt idx="100">
                  <c:v>200</c:v>
                </c:pt>
                <c:pt idx="101">
                  <c:v>100</c:v>
                </c:pt>
                <c:pt idx="102">
                  <c:v>200</c:v>
                </c:pt>
                <c:pt idx="103">
                  <c:v>100</c:v>
                </c:pt>
                <c:pt idx="104">
                  <c:v>200</c:v>
                </c:pt>
                <c:pt idx="105">
                  <c:v>200</c:v>
                </c:pt>
                <c:pt idx="106">
                  <c:v>200</c:v>
                </c:pt>
                <c:pt idx="107">
                  <c:v>200</c:v>
                </c:pt>
                <c:pt idx="108">
                  <c:v>200</c:v>
                </c:pt>
                <c:pt idx="109">
                  <c:v>50</c:v>
                </c:pt>
                <c:pt idx="110">
                  <c:v>100</c:v>
                </c:pt>
                <c:pt idx="111">
                  <c:v>80</c:v>
                </c:pt>
                <c:pt idx="112">
                  <c:v>60</c:v>
                </c:pt>
                <c:pt idx="113">
                  <c:v>100</c:v>
                </c:pt>
                <c:pt idx="114">
                  <c:v>20</c:v>
                </c:pt>
              </c:numCache>
            </c:numRef>
          </c:val>
          <c:extLst>
            <c:ext xmlns:c16="http://schemas.microsoft.com/office/drawing/2014/chart" uri="{C3380CC4-5D6E-409C-BE32-E72D297353CC}">
              <c16:uniqueId val="{00000000-BE92-48FF-9590-D75F1FACD840}"/>
            </c:ext>
          </c:extLst>
        </c:ser>
        <c:ser>
          <c:idx val="1"/>
          <c:order val="1"/>
          <c:tx>
            <c:strRef>
              <c:f>'AVERAGE CONSUMPTION'!$C$6:$C$7</c:f>
              <c:strCache>
                <c:ptCount val="1"/>
                <c:pt idx="0">
                  <c:v>Receipt</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multiLvlStrRef>
              <c:f>'AVERAGE CONSUMPTION'!$A$8:$A$138</c:f>
              <c:multiLvlStrCache>
                <c:ptCount val="115"/>
                <c:lvl>
                  <c:pt idx="0">
                    <c:v>CITY CENTRE</c:v>
                  </c:pt>
                  <c:pt idx="1">
                    <c:v>UKUNDA</c:v>
                  </c:pt>
                  <c:pt idx="2">
                    <c:v>MACHAKOS</c:v>
                  </c:pt>
                  <c:pt idx="3">
                    <c:v>HILL BRANCH</c:v>
                  </c:pt>
                  <c:pt idx="4">
                    <c:v>MOMBASA</c:v>
                  </c:pt>
                  <c:pt idx="5">
                    <c:v>KAKAMEGA</c:v>
                  </c:pt>
                  <c:pt idx="6">
                    <c:v>KIAMBU</c:v>
                  </c:pt>
                  <c:pt idx="7">
                    <c:v>ELDORET</c:v>
                  </c:pt>
                  <c:pt idx="8">
                    <c:v>MTWAPA</c:v>
                  </c:pt>
                  <c:pt idx="9">
                    <c:v>KITENGELA</c:v>
                  </c:pt>
                  <c:pt idx="10">
                    <c:v>REGISTRATION &amp; COMPLIANCE</c:v>
                  </c:pt>
                  <c:pt idx="11">
                    <c:v>INDUSTRIAL AREA</c:v>
                  </c:pt>
                  <c:pt idx="12">
                    <c:v>DONHOLM</c:v>
                  </c:pt>
                  <c:pt idx="13">
                    <c:v>NAKURU</c:v>
                  </c:pt>
                  <c:pt idx="14">
                    <c:v>KITUI</c:v>
                  </c:pt>
                  <c:pt idx="15">
                    <c:v>THIKA</c:v>
                  </c:pt>
                  <c:pt idx="16">
                    <c:v>CITY CENTRE</c:v>
                  </c:pt>
                  <c:pt idx="17">
                    <c:v>MACHAKOS</c:v>
                  </c:pt>
                  <c:pt idx="18">
                    <c:v>HILL BRANCH</c:v>
                  </c:pt>
                  <c:pt idx="19">
                    <c:v>MOMBASA</c:v>
                  </c:pt>
                  <c:pt idx="20">
                    <c:v>KIAMBU</c:v>
                  </c:pt>
                  <c:pt idx="21">
                    <c:v>ELDORET</c:v>
                  </c:pt>
                  <c:pt idx="22">
                    <c:v>MTWAPA</c:v>
                  </c:pt>
                  <c:pt idx="23">
                    <c:v>KITENGELA</c:v>
                  </c:pt>
                  <c:pt idx="24">
                    <c:v>INDUSTRIAL AREA</c:v>
                  </c:pt>
                  <c:pt idx="25">
                    <c:v>DONHOLM</c:v>
                  </c:pt>
                  <c:pt idx="26">
                    <c:v>NAKURU</c:v>
                  </c:pt>
                  <c:pt idx="27">
                    <c:v>KAKAMEGA</c:v>
                  </c:pt>
                  <c:pt idx="28">
                    <c:v>CITY CENTRE</c:v>
                  </c:pt>
                  <c:pt idx="29">
                    <c:v>MOMBASA</c:v>
                  </c:pt>
                  <c:pt idx="30">
                    <c:v>KAKAMEGA</c:v>
                  </c:pt>
                  <c:pt idx="31">
                    <c:v>KIAMBU</c:v>
                  </c:pt>
                  <c:pt idx="32">
                    <c:v>ELDORET</c:v>
                  </c:pt>
                  <c:pt idx="33">
                    <c:v>MTWAPA</c:v>
                  </c:pt>
                  <c:pt idx="34">
                    <c:v>HOMABAY</c:v>
                  </c:pt>
                  <c:pt idx="35">
                    <c:v>KITENGELA</c:v>
                  </c:pt>
                  <c:pt idx="36">
                    <c:v>WESTLANDS</c:v>
                  </c:pt>
                  <c:pt idx="37">
                    <c:v>THIKA</c:v>
                  </c:pt>
                  <c:pt idx="38">
                    <c:v>CITY CENTRE</c:v>
                  </c:pt>
                  <c:pt idx="39">
                    <c:v>UKUNDA</c:v>
                  </c:pt>
                  <c:pt idx="40">
                    <c:v>KAKAMEGA</c:v>
                  </c:pt>
                  <c:pt idx="41">
                    <c:v>KIAMBU</c:v>
                  </c:pt>
                  <c:pt idx="42">
                    <c:v>KITENGELA</c:v>
                  </c:pt>
                  <c:pt idx="43">
                    <c:v>WESTLANDS</c:v>
                  </c:pt>
                  <c:pt idx="44">
                    <c:v>THIKA</c:v>
                  </c:pt>
                  <c:pt idx="45">
                    <c:v>MACHAKOS</c:v>
                  </c:pt>
                  <c:pt idx="46">
                    <c:v>HILL BRANCH</c:v>
                  </c:pt>
                  <c:pt idx="47">
                    <c:v>MOMBASA</c:v>
                  </c:pt>
                  <c:pt idx="48">
                    <c:v>KAKAMEGA</c:v>
                  </c:pt>
                  <c:pt idx="49">
                    <c:v>KIAMBU</c:v>
                  </c:pt>
                  <c:pt idx="50">
                    <c:v>EASTLEIGH</c:v>
                  </c:pt>
                  <c:pt idx="51">
                    <c:v>MTWAPA</c:v>
                  </c:pt>
                  <c:pt idx="52">
                    <c:v>HOMABAY</c:v>
                  </c:pt>
                  <c:pt idx="53">
                    <c:v>KITENGELA</c:v>
                  </c:pt>
                  <c:pt idx="54">
                    <c:v>INDUSTRIAL AREA</c:v>
                  </c:pt>
                  <c:pt idx="55">
                    <c:v>NAKURU</c:v>
                  </c:pt>
                  <c:pt idx="56">
                    <c:v>WESTLANDS</c:v>
                  </c:pt>
                  <c:pt idx="57">
                    <c:v>THIKA</c:v>
                  </c:pt>
                  <c:pt idx="58">
                    <c:v>UKUNDA</c:v>
                  </c:pt>
                  <c:pt idx="59">
                    <c:v>MACHAKOS</c:v>
                  </c:pt>
                  <c:pt idx="60">
                    <c:v>HILL BRANCH</c:v>
                  </c:pt>
                  <c:pt idx="61">
                    <c:v>KAKAMEGA</c:v>
                  </c:pt>
                  <c:pt idx="62">
                    <c:v>KIAMBU</c:v>
                  </c:pt>
                  <c:pt idx="63">
                    <c:v>ELDORET</c:v>
                  </c:pt>
                  <c:pt idx="64">
                    <c:v>EASTLEIGH</c:v>
                  </c:pt>
                  <c:pt idx="65">
                    <c:v>MTWAPA</c:v>
                  </c:pt>
                  <c:pt idx="66">
                    <c:v>HOMABAY</c:v>
                  </c:pt>
                  <c:pt idx="67">
                    <c:v>KITENGELA</c:v>
                  </c:pt>
                  <c:pt idx="68">
                    <c:v>INDUSTRIAL AREA</c:v>
                  </c:pt>
                  <c:pt idx="69">
                    <c:v>DONHOLM</c:v>
                  </c:pt>
                  <c:pt idx="70">
                    <c:v>NAKURU</c:v>
                  </c:pt>
                  <c:pt idx="71">
                    <c:v>WESTLANDS</c:v>
                  </c:pt>
                  <c:pt idx="72">
                    <c:v>THIKA</c:v>
                  </c:pt>
                  <c:pt idx="73">
                    <c:v>CITY CENTRE</c:v>
                  </c:pt>
                  <c:pt idx="74">
                    <c:v>UKUNDA</c:v>
                  </c:pt>
                  <c:pt idx="75">
                    <c:v>KIAMBU</c:v>
                  </c:pt>
                  <c:pt idx="76">
                    <c:v>ELDORET</c:v>
                  </c:pt>
                  <c:pt idx="77">
                    <c:v>EASTLEIGH</c:v>
                  </c:pt>
                  <c:pt idx="78">
                    <c:v>HOMABAY</c:v>
                  </c:pt>
                  <c:pt idx="79">
                    <c:v>NAKURU</c:v>
                  </c:pt>
                  <c:pt idx="80">
                    <c:v>FINANCE</c:v>
                  </c:pt>
                  <c:pt idx="81">
                    <c:v>INVESTMENTS</c:v>
                  </c:pt>
                  <c:pt idx="82">
                    <c:v>STRATEGY &amp; CHANGE</c:v>
                  </c:pt>
                  <c:pt idx="83">
                    <c:v>REGISTRATION &amp; COMPLIANCE</c:v>
                  </c:pt>
                  <c:pt idx="84">
                    <c:v>GM HR/ADM</c:v>
                  </c:pt>
                  <c:pt idx="85">
                    <c:v>HR TALENT ACQUISITION</c:v>
                  </c:pt>
                  <c:pt idx="86">
                    <c:v>PROPERTY DEVELOPMENT</c:v>
                  </c:pt>
                  <c:pt idx="87">
                    <c:v>ETHICS &amp; INTEGRITY</c:v>
                  </c:pt>
                  <c:pt idx="88">
                    <c:v>MEMBER RECORDS</c:v>
                  </c:pt>
                  <c:pt idx="89">
                    <c:v>RISK MANAGEMENT</c:v>
                  </c:pt>
                  <c:pt idx="90">
                    <c:v>FINANCE</c:v>
                  </c:pt>
                  <c:pt idx="91">
                    <c:v>INVESTMENTS</c:v>
                  </c:pt>
                  <c:pt idx="92">
                    <c:v>REGISTRATION &amp; COMPLIANCE</c:v>
                  </c:pt>
                  <c:pt idx="93">
                    <c:v>GM HR/ADM</c:v>
                  </c:pt>
                  <c:pt idx="94">
                    <c:v>HUMAN CAPITAL/HR</c:v>
                  </c:pt>
                  <c:pt idx="95">
                    <c:v>HR TALENT ACQUISITION</c:v>
                  </c:pt>
                  <c:pt idx="96">
                    <c:v>ETHICS &amp; INTEGRITY</c:v>
                  </c:pt>
                  <c:pt idx="97">
                    <c:v>PROPERTY MANAGEMENT</c:v>
                  </c:pt>
                  <c:pt idx="98">
                    <c:v>ADMINISTRATION</c:v>
                  </c:pt>
                  <c:pt idx="99">
                    <c:v>MEMBER RECORDS</c:v>
                  </c:pt>
                  <c:pt idx="100">
                    <c:v>THIKA</c:v>
                  </c:pt>
                  <c:pt idx="101">
                    <c:v>MACHAKOS</c:v>
                  </c:pt>
                  <c:pt idx="102">
                    <c:v>MOMBASA</c:v>
                  </c:pt>
                  <c:pt idx="103">
                    <c:v>KAKAMEGA</c:v>
                  </c:pt>
                  <c:pt idx="104">
                    <c:v>ELDORET</c:v>
                  </c:pt>
                  <c:pt idx="105">
                    <c:v>EASTLEIGH</c:v>
                  </c:pt>
                  <c:pt idx="106">
                    <c:v>MTWAPA</c:v>
                  </c:pt>
                  <c:pt idx="107">
                    <c:v>HOMABAY</c:v>
                  </c:pt>
                  <c:pt idx="108">
                    <c:v>REGISTRATION &amp; COMPLIANCE</c:v>
                  </c:pt>
                  <c:pt idx="109">
                    <c:v>PROPERTY MANAGEMENT</c:v>
                  </c:pt>
                  <c:pt idx="110">
                    <c:v>MOMBASA</c:v>
                  </c:pt>
                  <c:pt idx="111">
                    <c:v>MTWAPA</c:v>
                  </c:pt>
                  <c:pt idx="112">
                    <c:v>HUMAN CAPITAL/HR</c:v>
                  </c:pt>
                  <c:pt idx="113">
                    <c:v>HOMABAY</c:v>
                  </c:pt>
                  <c:pt idx="114">
                    <c:v>NAKURU</c:v>
                  </c:pt>
                </c:lvl>
                <c:lvl>
                  <c:pt idx="0">
                    <c:v>Membership Cards (Blank)</c:v>
                  </c:pt>
                  <c:pt idx="15">
                    <c:v>Laminating Pouches</c:v>
                  </c:pt>
                  <c:pt idx="27">
                    <c:v>Schedule of Contribution</c:v>
                  </c:pt>
                  <c:pt idx="28">
                    <c:v>Fingerprint Forms SF/003</c:v>
                  </c:pt>
                  <c:pt idx="36">
                    <c:v>App. For Employer SF/001</c:v>
                  </c:pt>
                  <c:pt idx="43">
                    <c:v>Payment of Benefit Forms/004</c:v>
                  </c:pt>
                  <c:pt idx="56">
                    <c:v>Ben. App. Forms SF/001</c:v>
                  </c:pt>
                  <c:pt idx="71">
                    <c:v>Registration Gen. Folders</c:v>
                  </c:pt>
                  <c:pt idx="80">
                    <c:v>Envelopes A4</c:v>
                  </c:pt>
                  <c:pt idx="90">
                    <c:v>Envelopes A5</c:v>
                  </c:pt>
                  <c:pt idx="100">
                    <c:v>Survivor Ben. Form</c:v>
                  </c:pt>
                  <c:pt idx="108">
                    <c:v>Envelopes A3 (16*12) White</c:v>
                  </c:pt>
                  <c:pt idx="110">
                    <c:v>Funeral Grant Forms 006</c:v>
                  </c:pt>
                  <c:pt idx="112">
                    <c:v>Finance Account Folders</c:v>
                  </c:pt>
                  <c:pt idx="113">
                    <c:v>Emigration Benefit Folders</c:v>
                  </c:pt>
                </c:lvl>
              </c:multiLvlStrCache>
            </c:multiLvlStrRef>
          </c:cat>
          <c:val>
            <c:numRef>
              <c:f>'AVERAGE CONSUMPTION'!$C$8:$C$138</c:f>
              <c:numCache>
                <c:formatCode>General</c:formatCode>
                <c:ptCount val="115"/>
                <c:pt idx="11">
                  <c:v>1000</c:v>
                </c:pt>
                <c:pt idx="24">
                  <c:v>2000</c:v>
                </c:pt>
                <c:pt idx="54">
                  <c:v>500</c:v>
                </c:pt>
              </c:numCache>
            </c:numRef>
          </c:val>
          <c:extLst>
            <c:ext xmlns:c16="http://schemas.microsoft.com/office/drawing/2014/chart" uri="{C3380CC4-5D6E-409C-BE32-E72D297353CC}">
              <c16:uniqueId val="{00000001-E820-4204-AB31-862BAD2380E6}"/>
            </c:ext>
          </c:extLst>
        </c:ser>
        <c:dLbls>
          <c:dLblPos val="inEnd"/>
          <c:showLegendKey val="0"/>
          <c:showVal val="1"/>
          <c:showCatName val="0"/>
          <c:showSerName val="0"/>
          <c:showPercent val="0"/>
          <c:showBubbleSize val="0"/>
        </c:dLbls>
        <c:gapWidth val="81"/>
        <c:overlap val="-20"/>
        <c:axId val="508482056"/>
        <c:axId val="508484576"/>
      </c:barChart>
      <c:catAx>
        <c:axId val="508482056"/>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484576"/>
        <c:crosses val="autoZero"/>
        <c:auto val="1"/>
        <c:lblAlgn val="ctr"/>
        <c:lblOffset val="100"/>
        <c:noMultiLvlLbl val="0"/>
      </c:catAx>
      <c:valAx>
        <c:axId val="508484576"/>
        <c:scaling>
          <c:orientation val="minMax"/>
        </c:scaling>
        <c:delete val="1"/>
        <c:axPos val="t"/>
        <c:numFmt formatCode="General" sourceLinked="1"/>
        <c:majorTickMark val="none"/>
        <c:minorTickMark val="none"/>
        <c:tickLblPos val="nextTo"/>
        <c:crossAx val="50848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[Official Master Stock Control Sheet SF-Computer &amp; Maintenance Stores REVISING.xlsx]MAX CONSUMPTION!PivotTable1</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MAXIMUM CONSUMPTION</a:t>
            </a:r>
          </a:p>
        </c:rich>
      </c:tx>
      <c:overlay val="0"/>
      <c:spPr>
        <a:gradFill>
          <a:gsLst>
            <a:gs pos="45000">
              <a:schemeClr val="accent4">
                <a:lumMod val="0"/>
                <a:lumOff val="100000"/>
              </a:schemeClr>
            </a:gs>
            <a:gs pos="38080">
              <a:srgbClr val="FFFFFF"/>
            </a:gs>
            <a:gs pos="23000">
              <a:schemeClr val="accent4">
                <a:lumMod val="0"/>
                <a:lumOff val="100000"/>
              </a:schemeClr>
            </a:gs>
            <a:gs pos="100000">
              <a:schemeClr val="accent4">
                <a:lumMod val="100000"/>
              </a:schemeClr>
            </a:gs>
          </a:gsLst>
          <a:path path="circle">
            <a:fillToRect l="50000" t="-80000" r="50000" b="180000"/>
          </a:path>
        </a:gra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'MAX CONSUMPTION'!$B$6</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multiLvlStrRef>
              <c:f>'MAX CONSUMPTION'!$A$7:$A$222</c:f>
              <c:multiLvlStrCache>
                <c:ptCount val="105"/>
                <c:lvl>
                  <c:pt idx="0">
                    <c:v>08/07/2025</c:v>
                  </c:pt>
                  <c:pt idx="1">
                    <c:v>17/07/2025</c:v>
                  </c:pt>
                  <c:pt idx="2">
                    <c:v>17/07/2025</c:v>
                  </c:pt>
                  <c:pt idx="3">
                    <c:v>21/07/2025</c:v>
                  </c:pt>
                  <c:pt idx="4">
                    <c:v>22/07/2025</c:v>
                  </c:pt>
                  <c:pt idx="5">
                    <c:v>04/07/2025</c:v>
                  </c:pt>
                  <c:pt idx="6">
                    <c:v>18/07/2025</c:v>
                  </c:pt>
                  <c:pt idx="7">
                    <c:v>04/07/2025</c:v>
                  </c:pt>
                  <c:pt idx="8">
                    <c:v>09/07/2025</c:v>
                  </c:pt>
                  <c:pt idx="9">
                    <c:v>04/07/2025</c:v>
                  </c:pt>
                  <c:pt idx="10">
                    <c:v>09/07/2025</c:v>
                  </c:pt>
                  <c:pt idx="11">
                    <c:v>11/07/2025</c:v>
                  </c:pt>
                  <c:pt idx="12">
                    <c:v>15/07/2025</c:v>
                  </c:pt>
                  <c:pt idx="13">
                    <c:v>24/07/2025</c:v>
                  </c:pt>
                  <c:pt idx="14">
                    <c:v>22/07/2025</c:v>
                  </c:pt>
                  <c:pt idx="15">
                    <c:v>22/07/2025</c:v>
                  </c:pt>
                  <c:pt idx="16">
                    <c:v>23/07/2025</c:v>
                  </c:pt>
                  <c:pt idx="17">
                    <c:v>14/07/2025</c:v>
                  </c:pt>
                  <c:pt idx="18">
                    <c:v>08/07/2025</c:v>
                  </c:pt>
                  <c:pt idx="19">
                    <c:v>17/07/2025</c:v>
                  </c:pt>
                  <c:pt idx="20">
                    <c:v>21/07/2025</c:v>
                  </c:pt>
                  <c:pt idx="21">
                    <c:v>22/07/2025</c:v>
                  </c:pt>
                  <c:pt idx="22">
                    <c:v>04/07/2025</c:v>
                  </c:pt>
                  <c:pt idx="23">
                    <c:v>04/07/2025</c:v>
                  </c:pt>
                  <c:pt idx="24">
                    <c:v>04/07/2025</c:v>
                  </c:pt>
                  <c:pt idx="25">
                    <c:v>09/07/2025</c:v>
                  </c:pt>
                  <c:pt idx="26">
                    <c:v>11/07/2025</c:v>
                  </c:pt>
                  <c:pt idx="27">
                    <c:v>24/07/2025</c:v>
                  </c:pt>
                  <c:pt idx="28">
                    <c:v>22/07/2025</c:v>
                  </c:pt>
                  <c:pt idx="29">
                    <c:v>23/07/2025</c:v>
                  </c:pt>
                  <c:pt idx="30">
                    <c:v>04/07/2025</c:v>
                  </c:pt>
                  <c:pt idx="31">
                    <c:v>11/07/2025</c:v>
                  </c:pt>
                  <c:pt idx="32">
                    <c:v>17/07/2025</c:v>
                  </c:pt>
                  <c:pt idx="33">
                    <c:v>15/07/2025</c:v>
                  </c:pt>
                  <c:pt idx="34">
                    <c:v>15/07/2025</c:v>
                  </c:pt>
                  <c:pt idx="35">
                    <c:v>15/07/2025</c:v>
                  </c:pt>
                  <c:pt idx="36">
                    <c:v>15/07/2025</c:v>
                  </c:pt>
                  <c:pt idx="37">
                    <c:v>16/07/2025</c:v>
                  </c:pt>
                  <c:pt idx="38">
                    <c:v>16/07/2025</c:v>
                  </c:pt>
                  <c:pt idx="39">
                    <c:v>22/07/2025</c:v>
                  </c:pt>
                  <c:pt idx="40">
                    <c:v>23/07/2025</c:v>
                  </c:pt>
                  <c:pt idx="41">
                    <c:v>22/07/2025</c:v>
                  </c:pt>
                  <c:pt idx="42">
                    <c:v>14/07/2025</c:v>
                  </c:pt>
                  <c:pt idx="43">
                    <c:v>17/07/2025</c:v>
                  </c:pt>
                  <c:pt idx="44">
                    <c:v>21/07/2025</c:v>
                  </c:pt>
                  <c:pt idx="45">
                    <c:v>22/07/2025</c:v>
                  </c:pt>
                  <c:pt idx="46">
                    <c:v>04/07/2025</c:v>
                  </c:pt>
                  <c:pt idx="47">
                    <c:v>21/07/2025</c:v>
                  </c:pt>
                  <c:pt idx="48">
                    <c:v>04/07/2025</c:v>
                  </c:pt>
                  <c:pt idx="49">
                    <c:v>18/07/2025</c:v>
                  </c:pt>
                  <c:pt idx="50">
                    <c:v>09/07/2025</c:v>
                  </c:pt>
                  <c:pt idx="51">
                    <c:v>11/07/2025</c:v>
                  </c:pt>
                  <c:pt idx="52">
                    <c:v>11/07/2025</c:v>
                  </c:pt>
                  <c:pt idx="53">
                    <c:v>21/07/2025</c:v>
                  </c:pt>
                  <c:pt idx="54">
                    <c:v>22/07/2025</c:v>
                  </c:pt>
                  <c:pt idx="55">
                    <c:v>22/07/2025</c:v>
                  </c:pt>
                  <c:pt idx="56">
                    <c:v>22/07/2025</c:v>
                  </c:pt>
                  <c:pt idx="57">
                    <c:v>14/07/2025</c:v>
                  </c:pt>
                  <c:pt idx="58">
                    <c:v>21/07/2025</c:v>
                  </c:pt>
                  <c:pt idx="59">
                    <c:v>22/07/2025</c:v>
                  </c:pt>
                  <c:pt idx="60">
                    <c:v>04/07/2025</c:v>
                  </c:pt>
                  <c:pt idx="61">
                    <c:v>04/07/2025</c:v>
                  </c:pt>
                  <c:pt idx="62">
                    <c:v>04/07/2025</c:v>
                  </c:pt>
                  <c:pt idx="63">
                    <c:v>18/07/2025</c:v>
                  </c:pt>
                  <c:pt idx="64">
                    <c:v>09/07/2025</c:v>
                  </c:pt>
                  <c:pt idx="65">
                    <c:v>11/07/2025</c:v>
                  </c:pt>
                  <c:pt idx="66">
                    <c:v>11/07/2025</c:v>
                  </c:pt>
                  <c:pt idx="67">
                    <c:v>24/07/2025</c:v>
                  </c:pt>
                  <c:pt idx="68">
                    <c:v>22/07/2025</c:v>
                  </c:pt>
                  <c:pt idx="69">
                    <c:v>08/07/2025</c:v>
                  </c:pt>
                  <c:pt idx="70">
                    <c:v>04/07/2025</c:v>
                  </c:pt>
                  <c:pt idx="71">
                    <c:v>04/07/2025</c:v>
                  </c:pt>
                  <c:pt idx="72">
                    <c:v>04/07/2025</c:v>
                  </c:pt>
                  <c:pt idx="73">
                    <c:v>04/07/2025</c:v>
                  </c:pt>
                  <c:pt idx="74">
                    <c:v>09/07/2025</c:v>
                  </c:pt>
                  <c:pt idx="75">
                    <c:v>11/07/2025</c:v>
                  </c:pt>
                  <c:pt idx="76">
                    <c:v>11/07/2025</c:v>
                  </c:pt>
                  <c:pt idx="77">
                    <c:v>22/07/2025</c:v>
                  </c:pt>
                  <c:pt idx="78">
                    <c:v>14/07/2025</c:v>
                  </c:pt>
                  <c:pt idx="79">
                    <c:v>08/07/2025</c:v>
                  </c:pt>
                  <c:pt idx="80">
                    <c:v>17/07/2025</c:v>
                  </c:pt>
                  <c:pt idx="81">
                    <c:v>17/07/2025</c:v>
                  </c:pt>
                  <c:pt idx="82">
                    <c:v>04/07/2025</c:v>
                  </c:pt>
                  <c:pt idx="83">
                    <c:v>04/07/2025</c:v>
                  </c:pt>
                  <c:pt idx="84">
                    <c:v>11/07/2025</c:v>
                  </c:pt>
                  <c:pt idx="85">
                    <c:v>11/07/2025</c:v>
                  </c:pt>
                  <c:pt idx="86">
                    <c:v>17/07/2025</c:v>
                  </c:pt>
                  <c:pt idx="87">
                    <c:v>14/07/2025</c:v>
                  </c:pt>
                  <c:pt idx="88">
                    <c:v>15/07/2025</c:v>
                  </c:pt>
                  <c:pt idx="89">
                    <c:v>15/07/2025</c:v>
                  </c:pt>
                  <c:pt idx="90">
                    <c:v>15/07/2025</c:v>
                  </c:pt>
                  <c:pt idx="91">
                    <c:v>15/07/2025</c:v>
                  </c:pt>
                  <c:pt idx="92">
                    <c:v>16/07/2025</c:v>
                  </c:pt>
                  <c:pt idx="93">
                    <c:v>23/07/2025</c:v>
                  </c:pt>
                  <c:pt idx="94">
                    <c:v>23/07/2025</c:v>
                  </c:pt>
                  <c:pt idx="95">
                    <c:v>22/07/2025</c:v>
                  </c:pt>
                  <c:pt idx="96">
                    <c:v>14/07/2025</c:v>
                  </c:pt>
                  <c:pt idx="97">
                    <c:v>17/07/2025</c:v>
                  </c:pt>
                  <c:pt idx="98">
                    <c:v>17/07/2025</c:v>
                  </c:pt>
                  <c:pt idx="99">
                    <c:v>04/07/2025</c:v>
                  </c:pt>
                  <c:pt idx="100">
                    <c:v>21/07/2025</c:v>
                  </c:pt>
                  <c:pt idx="101">
                    <c:v>04/07/2025</c:v>
                  </c:pt>
                  <c:pt idx="102">
                    <c:v>18/07/2025</c:v>
                  </c:pt>
                  <c:pt idx="103">
                    <c:v>11/07/2025</c:v>
                  </c:pt>
                  <c:pt idx="104">
                    <c:v>22/07/2025</c:v>
                  </c:pt>
                </c:lvl>
                <c:lvl>
                  <c:pt idx="0">
                    <c:v>CITY CENTRE</c:v>
                  </c:pt>
                  <c:pt idx="2">
                    <c:v>UKUNDA</c:v>
                  </c:pt>
                  <c:pt idx="3">
                    <c:v>MACHAKOS</c:v>
                  </c:pt>
                  <c:pt idx="4">
                    <c:v>HILL BRANCH</c:v>
                  </c:pt>
                  <c:pt idx="5">
                    <c:v>MOMBASA</c:v>
                  </c:pt>
                  <c:pt idx="7">
                    <c:v>KAKAMEGA</c:v>
                  </c:pt>
                  <c:pt idx="8">
                    <c:v>KIAMBU</c:v>
                  </c:pt>
                  <c:pt idx="9">
                    <c:v>ELDORET</c:v>
                  </c:pt>
                  <c:pt idx="10">
                    <c:v>MTWAPA</c:v>
                  </c:pt>
                  <c:pt idx="11">
                    <c:v>KITENGELA</c:v>
                  </c:pt>
                  <c:pt idx="12">
                    <c:v>REGISTRATION &amp; COMPLIANCE</c:v>
                  </c:pt>
                  <c:pt idx="13">
                    <c:v>INDUSTRIAL AREA</c:v>
                  </c:pt>
                  <c:pt idx="14">
                    <c:v>DONHOLM</c:v>
                  </c:pt>
                  <c:pt idx="15">
                    <c:v>NAKURU</c:v>
                  </c:pt>
                  <c:pt idx="16">
                    <c:v>KITUI</c:v>
                  </c:pt>
                  <c:pt idx="17">
                    <c:v>THIKA</c:v>
                  </c:pt>
                  <c:pt idx="18">
                    <c:v>CITY CENTRE</c:v>
                  </c:pt>
                  <c:pt idx="20">
                    <c:v>MACHAKOS</c:v>
                  </c:pt>
                  <c:pt idx="21">
                    <c:v>HILL BRANCH</c:v>
                  </c:pt>
                  <c:pt idx="22">
                    <c:v>MOMBASA</c:v>
                  </c:pt>
                  <c:pt idx="23">
                    <c:v>KIAMBU</c:v>
                  </c:pt>
                  <c:pt idx="24">
                    <c:v>ELDORET</c:v>
                  </c:pt>
                  <c:pt idx="25">
                    <c:v>MTWAPA</c:v>
                  </c:pt>
                  <c:pt idx="26">
                    <c:v>KITENGELA</c:v>
                  </c:pt>
                  <c:pt idx="27">
                    <c:v>INDUSTRIAL AREA</c:v>
                  </c:pt>
                  <c:pt idx="28">
                    <c:v>DONHOLM</c:v>
                  </c:pt>
                  <c:pt idx="29">
                    <c:v>NAKURU</c:v>
                  </c:pt>
                  <c:pt idx="30">
                    <c:v>KAKAMEGA</c:v>
                  </c:pt>
                  <c:pt idx="31">
                    <c:v>FINANCE</c:v>
                  </c:pt>
                  <c:pt idx="32">
                    <c:v>INVESTMENTS</c:v>
                  </c:pt>
                  <c:pt idx="33">
                    <c:v>REGISTRATION &amp; COMPLIANCE</c:v>
                  </c:pt>
                  <c:pt idx="34">
                    <c:v>GM HR/ADM</c:v>
                  </c:pt>
                  <c:pt idx="35">
                    <c:v>HUMAN CAPITAL/HR</c:v>
                  </c:pt>
                  <c:pt idx="36">
                    <c:v>HR TALENT ACQUISITION</c:v>
                  </c:pt>
                  <c:pt idx="37">
                    <c:v>ETHICS &amp; INTEGRITY</c:v>
                  </c:pt>
                  <c:pt idx="38">
                    <c:v>PROPERTY MANAGEMENT</c:v>
                  </c:pt>
                  <c:pt idx="39">
                    <c:v>ADMINISTRATION</c:v>
                  </c:pt>
                  <c:pt idx="40">
                    <c:v>MEMBER RECORDS</c:v>
                  </c:pt>
                  <c:pt idx="41">
                    <c:v>WESTLANDS</c:v>
                  </c:pt>
                  <c:pt idx="42">
                    <c:v>THIKA</c:v>
                  </c:pt>
                  <c:pt idx="43">
                    <c:v>UKUNDA</c:v>
                  </c:pt>
                  <c:pt idx="44">
                    <c:v>MACHAKOS</c:v>
                  </c:pt>
                  <c:pt idx="45">
                    <c:v>HILL BRANCH</c:v>
                  </c:pt>
                  <c:pt idx="46">
                    <c:v>KAKAMEGA</c:v>
                  </c:pt>
                  <c:pt idx="47">
                    <c:v>KIAMBU</c:v>
                  </c:pt>
                  <c:pt idx="48">
                    <c:v>ELDORET</c:v>
                  </c:pt>
                  <c:pt idx="49">
                    <c:v>EASTLEIGH</c:v>
                  </c:pt>
                  <c:pt idx="50">
                    <c:v>MTWAPA</c:v>
                  </c:pt>
                  <c:pt idx="51">
                    <c:v>HOMABAY</c:v>
                  </c:pt>
                  <c:pt idx="52">
                    <c:v>KITENGELA</c:v>
                  </c:pt>
                  <c:pt idx="53">
                    <c:v>INDUSTRIAL AREA</c:v>
                  </c:pt>
                  <c:pt idx="54">
                    <c:v>DONHOLM</c:v>
                  </c:pt>
                  <c:pt idx="55">
                    <c:v>NAKURU</c:v>
                  </c:pt>
                  <c:pt idx="56">
                    <c:v>WESTLANDS</c:v>
                  </c:pt>
                  <c:pt idx="57">
                    <c:v>THIKA</c:v>
                  </c:pt>
                  <c:pt idx="58">
                    <c:v>MACHAKOS</c:v>
                  </c:pt>
                  <c:pt idx="59">
                    <c:v>HILL BRANCH</c:v>
                  </c:pt>
                  <c:pt idx="60">
                    <c:v>MOMBASA</c:v>
                  </c:pt>
                  <c:pt idx="61">
                    <c:v>KAKAMEGA</c:v>
                  </c:pt>
                  <c:pt idx="62">
                    <c:v>KIAMBU</c:v>
                  </c:pt>
                  <c:pt idx="63">
                    <c:v>EASTLEIGH</c:v>
                  </c:pt>
                  <c:pt idx="64">
                    <c:v>MTWAPA</c:v>
                  </c:pt>
                  <c:pt idx="65">
                    <c:v>HOMABAY</c:v>
                  </c:pt>
                  <c:pt idx="66">
                    <c:v>KITENGELA</c:v>
                  </c:pt>
                  <c:pt idx="67">
                    <c:v>INDUSTRIAL AREA</c:v>
                  </c:pt>
                  <c:pt idx="68">
                    <c:v>NAKURU</c:v>
                  </c:pt>
                  <c:pt idx="69">
                    <c:v>CITY CENTRE</c:v>
                  </c:pt>
                  <c:pt idx="70">
                    <c:v>MOMBASA</c:v>
                  </c:pt>
                  <c:pt idx="71">
                    <c:v>KAKAMEGA</c:v>
                  </c:pt>
                  <c:pt idx="72">
                    <c:v>KIAMBU</c:v>
                  </c:pt>
                  <c:pt idx="73">
                    <c:v>ELDORET</c:v>
                  </c:pt>
                  <c:pt idx="74">
                    <c:v>MTWAPA</c:v>
                  </c:pt>
                  <c:pt idx="75">
                    <c:v>HOMABAY</c:v>
                  </c:pt>
                  <c:pt idx="76">
                    <c:v>KITENGELA</c:v>
                  </c:pt>
                  <c:pt idx="77">
                    <c:v>WESTLANDS</c:v>
                  </c:pt>
                  <c:pt idx="78">
                    <c:v>THIKA</c:v>
                  </c:pt>
                  <c:pt idx="79">
                    <c:v>CITY CENTRE</c:v>
                  </c:pt>
                  <c:pt idx="81">
                    <c:v>UKUNDA</c:v>
                  </c:pt>
                  <c:pt idx="82">
                    <c:v>KAKAMEGA</c:v>
                  </c:pt>
                  <c:pt idx="83">
                    <c:v>KIAMBU</c:v>
                  </c:pt>
                  <c:pt idx="84">
                    <c:v>KITENGELA</c:v>
                  </c:pt>
                  <c:pt idx="85">
                    <c:v>FINANCE</c:v>
                  </c:pt>
                  <c:pt idx="86">
                    <c:v>INVESTMENTS</c:v>
                  </c:pt>
                  <c:pt idx="87">
                    <c:v>STRATEGY &amp; CHANGE</c:v>
                  </c:pt>
                  <c:pt idx="88">
                    <c:v>REGISTRATION &amp; COMPLIANCE</c:v>
                  </c:pt>
                  <c:pt idx="89">
                    <c:v>GM HR/ADM</c:v>
                  </c:pt>
                  <c:pt idx="90">
                    <c:v>HR TALENT ACQUISITION</c:v>
                  </c:pt>
                  <c:pt idx="91">
                    <c:v>PROPERTY DEVELOPMENT</c:v>
                  </c:pt>
                  <c:pt idx="92">
                    <c:v>ETHICS &amp; INTEGRITY</c:v>
                  </c:pt>
                  <c:pt idx="93">
                    <c:v>MEMBER RECORDS</c:v>
                  </c:pt>
                  <c:pt idx="94">
                    <c:v>RISK MANAGEMENT</c:v>
                  </c:pt>
                  <c:pt idx="95">
                    <c:v>WESTLANDS</c:v>
                  </c:pt>
                  <c:pt idx="96">
                    <c:v>THIKA</c:v>
                  </c:pt>
                  <c:pt idx="97">
                    <c:v>CITY CENTRE</c:v>
                  </c:pt>
                  <c:pt idx="98">
                    <c:v>UKUNDA</c:v>
                  </c:pt>
                  <c:pt idx="99">
                    <c:v>KIAMBU</c:v>
                  </c:pt>
                  <c:pt idx="101">
                    <c:v>ELDORET</c:v>
                  </c:pt>
                  <c:pt idx="102">
                    <c:v>EASTLEIGH</c:v>
                  </c:pt>
                  <c:pt idx="103">
                    <c:v>HOMABAY</c:v>
                  </c:pt>
                  <c:pt idx="104">
                    <c:v>NAKURU</c:v>
                  </c:pt>
                </c:lvl>
                <c:lvl>
                  <c:pt idx="0">
                    <c:v>Membership Cards (Blank)</c:v>
                  </c:pt>
                  <c:pt idx="17">
                    <c:v>Laminating Pouches</c:v>
                  </c:pt>
                  <c:pt idx="30">
                    <c:v>Schedule of Contribution</c:v>
                  </c:pt>
                  <c:pt idx="31">
                    <c:v>Envelopes A5</c:v>
                  </c:pt>
                  <c:pt idx="41">
                    <c:v>Ben. App. Forms SF/001</c:v>
                  </c:pt>
                  <c:pt idx="56">
                    <c:v>Payment of Benefit Forms/004</c:v>
                  </c:pt>
                  <c:pt idx="69">
                    <c:v>Fingerprint Forms SF/003</c:v>
                  </c:pt>
                  <c:pt idx="77">
                    <c:v>App. For Employer SF/001</c:v>
                  </c:pt>
                  <c:pt idx="85">
                    <c:v>Envelopes A4</c:v>
                  </c:pt>
                  <c:pt idx="95">
                    <c:v>Registration Gen. Folders</c:v>
                  </c:pt>
                </c:lvl>
              </c:multiLvlStrCache>
            </c:multiLvlStrRef>
          </c:cat>
          <c:val>
            <c:numRef>
              <c:f>'MAX CONSUMPTION'!$B$7:$B$222</c:f>
              <c:numCache>
                <c:formatCode>General</c:formatCode>
                <c:ptCount val="105"/>
                <c:pt idx="0">
                  <c:v>3000</c:v>
                </c:pt>
                <c:pt idx="1">
                  <c:v>3000</c:v>
                </c:pt>
                <c:pt idx="2">
                  <c:v>2000</c:v>
                </c:pt>
                <c:pt idx="3">
                  <c:v>1000</c:v>
                </c:pt>
                <c:pt idx="4">
                  <c:v>4000</c:v>
                </c:pt>
                <c:pt idx="5">
                  <c:v>3000</c:v>
                </c:pt>
                <c:pt idx="6">
                  <c:v>3000</c:v>
                </c:pt>
                <c:pt idx="7">
                  <c:v>3000</c:v>
                </c:pt>
                <c:pt idx="8">
                  <c:v>3000</c:v>
                </c:pt>
                <c:pt idx="9">
                  <c:v>3000</c:v>
                </c:pt>
                <c:pt idx="10">
                  <c:v>2000</c:v>
                </c:pt>
                <c:pt idx="11">
                  <c:v>3000</c:v>
                </c:pt>
                <c:pt idx="12">
                  <c:v>1000</c:v>
                </c:pt>
                <c:pt idx="13">
                  <c:v>1000</c:v>
                </c:pt>
                <c:pt idx="14">
                  <c:v>3000</c:v>
                </c:pt>
                <c:pt idx="15">
                  <c:v>6000</c:v>
                </c:pt>
                <c:pt idx="16">
                  <c:v>1000</c:v>
                </c:pt>
                <c:pt idx="17">
                  <c:v>4000</c:v>
                </c:pt>
                <c:pt idx="18">
                  <c:v>3000</c:v>
                </c:pt>
                <c:pt idx="19">
                  <c:v>3000</c:v>
                </c:pt>
                <c:pt idx="20">
                  <c:v>2000</c:v>
                </c:pt>
                <c:pt idx="21">
                  <c:v>2000</c:v>
                </c:pt>
                <c:pt idx="22">
                  <c:v>3000</c:v>
                </c:pt>
                <c:pt idx="23">
                  <c:v>100</c:v>
                </c:pt>
                <c:pt idx="24">
                  <c:v>2000</c:v>
                </c:pt>
                <c:pt idx="25">
                  <c:v>2000</c:v>
                </c:pt>
                <c:pt idx="26">
                  <c:v>3000</c:v>
                </c:pt>
                <c:pt idx="27">
                  <c:v>2000</c:v>
                </c:pt>
                <c:pt idx="28">
                  <c:v>3000</c:v>
                </c:pt>
                <c:pt idx="29">
                  <c:v>2000</c:v>
                </c:pt>
                <c:pt idx="30">
                  <c:v>1000</c:v>
                </c:pt>
                <c:pt idx="31">
                  <c:v>200</c:v>
                </c:pt>
                <c:pt idx="32">
                  <c:v>200</c:v>
                </c:pt>
                <c:pt idx="33">
                  <c:v>100</c:v>
                </c:pt>
                <c:pt idx="34">
                  <c:v>500</c:v>
                </c:pt>
                <c:pt idx="35">
                  <c:v>200</c:v>
                </c:pt>
                <c:pt idx="36">
                  <c:v>500</c:v>
                </c:pt>
                <c:pt idx="37">
                  <c:v>50</c:v>
                </c:pt>
                <c:pt idx="38">
                  <c:v>10</c:v>
                </c:pt>
                <c:pt idx="39">
                  <c:v>50</c:v>
                </c:pt>
                <c:pt idx="40">
                  <c:v>100</c:v>
                </c:pt>
                <c:pt idx="41">
                  <c:v>400</c:v>
                </c:pt>
                <c:pt idx="42">
                  <c:v>500</c:v>
                </c:pt>
                <c:pt idx="43">
                  <c:v>400</c:v>
                </c:pt>
                <c:pt idx="44">
                  <c:v>300</c:v>
                </c:pt>
                <c:pt idx="45">
                  <c:v>500</c:v>
                </c:pt>
                <c:pt idx="46">
                  <c:v>300</c:v>
                </c:pt>
                <c:pt idx="47">
                  <c:v>300</c:v>
                </c:pt>
                <c:pt idx="48">
                  <c:v>500</c:v>
                </c:pt>
                <c:pt idx="49">
                  <c:v>300</c:v>
                </c:pt>
                <c:pt idx="50">
                  <c:v>150</c:v>
                </c:pt>
                <c:pt idx="51">
                  <c:v>300</c:v>
                </c:pt>
                <c:pt idx="52">
                  <c:v>400</c:v>
                </c:pt>
                <c:pt idx="53">
                  <c:v>500</c:v>
                </c:pt>
                <c:pt idx="54">
                  <c:v>500</c:v>
                </c:pt>
                <c:pt idx="55">
                  <c:v>500</c:v>
                </c:pt>
                <c:pt idx="56">
                  <c:v>500</c:v>
                </c:pt>
                <c:pt idx="57">
                  <c:v>500</c:v>
                </c:pt>
                <c:pt idx="58">
                  <c:v>500</c:v>
                </c:pt>
                <c:pt idx="59">
                  <c:v>500</c:v>
                </c:pt>
                <c:pt idx="60">
                  <c:v>500</c:v>
                </c:pt>
                <c:pt idx="61">
                  <c:v>500</c:v>
                </c:pt>
                <c:pt idx="62">
                  <c:v>400</c:v>
                </c:pt>
                <c:pt idx="63">
                  <c:v>300</c:v>
                </c:pt>
                <c:pt idx="64">
                  <c:v>100</c:v>
                </c:pt>
                <c:pt idx="65">
                  <c:v>500</c:v>
                </c:pt>
                <c:pt idx="66">
                  <c:v>500</c:v>
                </c:pt>
                <c:pt idx="67">
                  <c:v>500</c:v>
                </c:pt>
                <c:pt idx="68">
                  <c:v>500</c:v>
                </c:pt>
                <c:pt idx="69">
                  <c:v>500</c:v>
                </c:pt>
                <c:pt idx="70">
                  <c:v>500</c:v>
                </c:pt>
                <c:pt idx="71">
                  <c:v>500</c:v>
                </c:pt>
                <c:pt idx="72">
                  <c:v>500</c:v>
                </c:pt>
                <c:pt idx="73">
                  <c:v>500</c:v>
                </c:pt>
                <c:pt idx="74">
                  <c:v>500</c:v>
                </c:pt>
                <c:pt idx="75">
                  <c:v>500</c:v>
                </c:pt>
                <c:pt idx="76">
                  <c:v>500</c:v>
                </c:pt>
                <c:pt idx="77">
                  <c:v>500</c:v>
                </c:pt>
                <c:pt idx="78">
                  <c:v>500</c:v>
                </c:pt>
                <c:pt idx="79">
                  <c:v>500</c:v>
                </c:pt>
                <c:pt idx="80">
                  <c:v>500</c:v>
                </c:pt>
                <c:pt idx="81">
                  <c:v>500</c:v>
                </c:pt>
                <c:pt idx="82">
                  <c:v>500</c:v>
                </c:pt>
                <c:pt idx="83">
                  <c:v>500</c:v>
                </c:pt>
                <c:pt idx="84">
                  <c:v>500</c:v>
                </c:pt>
                <c:pt idx="85">
                  <c:v>200</c:v>
                </c:pt>
                <c:pt idx="86">
                  <c:v>200</c:v>
                </c:pt>
                <c:pt idx="87">
                  <c:v>300</c:v>
                </c:pt>
                <c:pt idx="88">
                  <c:v>200</c:v>
                </c:pt>
                <c:pt idx="89">
                  <c:v>500</c:v>
                </c:pt>
                <c:pt idx="90">
                  <c:v>500</c:v>
                </c:pt>
                <c:pt idx="91">
                  <c:v>100</c:v>
                </c:pt>
                <c:pt idx="92">
                  <c:v>100</c:v>
                </c:pt>
                <c:pt idx="93">
                  <c:v>100</c:v>
                </c:pt>
                <c:pt idx="94">
                  <c:v>200</c:v>
                </c:pt>
                <c:pt idx="95">
                  <c:v>300</c:v>
                </c:pt>
                <c:pt idx="96">
                  <c:v>300</c:v>
                </c:pt>
                <c:pt idx="97">
                  <c:v>300</c:v>
                </c:pt>
                <c:pt idx="98">
                  <c:v>200</c:v>
                </c:pt>
                <c:pt idx="99">
                  <c:v>200</c:v>
                </c:pt>
                <c:pt idx="100">
                  <c:v>300</c:v>
                </c:pt>
                <c:pt idx="101">
                  <c:v>300</c:v>
                </c:pt>
                <c:pt idx="102">
                  <c:v>200</c:v>
                </c:pt>
                <c:pt idx="103">
                  <c:v>300</c:v>
                </c:pt>
                <c:pt idx="104">
                  <c:v>300</c:v>
                </c:pt>
              </c:numCache>
            </c:numRef>
          </c:val>
          <c:extLst>
            <c:ext xmlns:c16="http://schemas.microsoft.com/office/drawing/2014/chart" uri="{C3380CC4-5D6E-409C-BE32-E72D297353CC}">
              <c16:uniqueId val="{00000000-F7DC-4BA3-8093-86223F4C45A5}"/>
            </c:ext>
          </c:extLst>
        </c:ser>
        <c:dLbls>
          <c:dLblPos val="outEnd"/>
          <c:showLegendKey val="0"/>
          <c:showVal val="1"/>
          <c:showCatName val="0"/>
          <c:showSerName val="0"/>
          <c:showPercent val="0"/>
          <c:showBubbleSize val="0"/>
        </c:dLbls>
        <c:gapWidth val="115"/>
        <c:overlap val="-20"/>
        <c:axId val="508482056"/>
        <c:axId val="508484576"/>
      </c:barChart>
      <c:catAx>
        <c:axId val="508482056"/>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484576"/>
        <c:crosses val="autoZero"/>
        <c:auto val="1"/>
        <c:lblAlgn val="ctr"/>
        <c:lblOffset val="100"/>
        <c:noMultiLvlLbl val="0"/>
      </c:catAx>
      <c:valAx>
        <c:axId val="508484576"/>
        <c:scaling>
          <c:orientation val="minMax"/>
        </c:scaling>
        <c:delete val="1"/>
        <c:axPos val="t"/>
        <c:numFmt formatCode="General" sourceLinked="1"/>
        <c:majorTickMark val="none"/>
        <c:minorTickMark val="none"/>
        <c:tickLblPos val="nextTo"/>
        <c:crossAx val="50848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[Official Master Stock Control Sheet SF-Computer &amp; Maintenance Stores REVISING.xlsx]MIN CONSUMPTION!PivotTable1</c:name>
    <c:fmtId val="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MINIMUM CONSUMPTION</a:t>
            </a:r>
          </a:p>
        </c:rich>
      </c:tx>
      <c:layout/>
      <c:overlay val="0"/>
      <c:spPr>
        <a:gradFill>
          <a:gsLst>
            <a:gs pos="45000">
              <a:schemeClr val="accent4">
                <a:lumMod val="0"/>
                <a:lumOff val="100000"/>
              </a:schemeClr>
            </a:gs>
            <a:gs pos="38080">
              <a:srgbClr val="FFFFFF"/>
            </a:gs>
            <a:gs pos="23000">
              <a:schemeClr val="accent4">
                <a:lumMod val="0"/>
                <a:lumOff val="100000"/>
              </a:schemeClr>
            </a:gs>
            <a:gs pos="100000">
              <a:schemeClr val="accent4">
                <a:lumMod val="100000"/>
              </a:schemeClr>
            </a:gs>
          </a:gsLst>
          <a:path path="circle">
            <a:fillToRect l="50000" t="-80000" r="50000" b="180000"/>
          </a:path>
        </a:gra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'MIN CONSUMPTION'!$B$6</c:f>
              <c:strCache>
                <c:ptCount val="1"/>
                <c:pt idx="0">
                  <c:v>Min of In&amp;Out Qty</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'MIN CONSUMPTION'!$A$7:$A$17</c:f>
              <c:strCache>
                <c:ptCount val="10"/>
                <c:pt idx="0">
                  <c:v>Schedule of Contribution</c:v>
                </c:pt>
                <c:pt idx="1">
                  <c:v>Membership Cards (Blank)</c:v>
                </c:pt>
                <c:pt idx="2">
                  <c:v>Fingerprint Forms SF/003</c:v>
                </c:pt>
                <c:pt idx="3">
                  <c:v>App. For Employer SF/001</c:v>
                </c:pt>
                <c:pt idx="4">
                  <c:v>Registration Gen. Folders</c:v>
                </c:pt>
                <c:pt idx="5">
                  <c:v>Ben. App. Forms SF/001</c:v>
                </c:pt>
                <c:pt idx="6">
                  <c:v>Payment of Benefit Forms/004</c:v>
                </c:pt>
                <c:pt idx="7">
                  <c:v>Survivor Ben. Form</c:v>
                </c:pt>
                <c:pt idx="8">
                  <c:v>Laminating Pouches</c:v>
                </c:pt>
                <c:pt idx="9">
                  <c:v>Envelopes A4</c:v>
                </c:pt>
              </c:strCache>
            </c:strRef>
          </c:cat>
          <c:val>
            <c:numRef>
              <c:f>'MIN CONSUMPTION'!$B$7:$B$17</c:f>
              <c:numCache>
                <c:formatCode>General</c:formatCode>
                <c:ptCount val="10"/>
                <c:pt idx="0">
                  <c:v>1000</c:v>
                </c:pt>
                <c:pt idx="1">
                  <c:v>1000</c:v>
                </c:pt>
                <c:pt idx="2">
                  <c:v>500</c:v>
                </c:pt>
                <c:pt idx="3">
                  <c:v>500</c:v>
                </c:pt>
                <c:pt idx="4">
                  <c:v>200</c:v>
                </c:pt>
                <c:pt idx="5">
                  <c:v>150</c:v>
                </c:pt>
                <c:pt idx="6">
                  <c:v>100</c:v>
                </c:pt>
                <c:pt idx="7">
                  <c:v>100</c:v>
                </c:pt>
                <c:pt idx="8">
                  <c:v>100</c:v>
                </c:pt>
                <c:pt idx="9">
                  <c:v>100</c:v>
                </c:pt>
              </c:numCache>
            </c:numRef>
          </c:val>
          <c:extLst>
            <c:ext xmlns:c16="http://schemas.microsoft.com/office/drawing/2014/chart" uri="{C3380CC4-5D6E-409C-BE32-E72D297353CC}">
              <c16:uniqueId val="{00000000-05CF-4947-9F74-E75534D68134}"/>
            </c:ext>
          </c:extLst>
        </c:ser>
        <c:ser>
          <c:idx val="1"/>
          <c:order val="1"/>
          <c:tx>
            <c:strRef>
              <c:f>'MIN CONSUMPTION'!$C$6</c:f>
              <c:strCache>
                <c:ptCount val="1"/>
                <c:pt idx="0">
                  <c:v>Min of In&amp;Out Qty(%)</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'MIN CONSUMPTION'!$A$7:$A$17</c:f>
              <c:strCache>
                <c:ptCount val="10"/>
                <c:pt idx="0">
                  <c:v>Schedule of Contribution</c:v>
                </c:pt>
                <c:pt idx="1">
                  <c:v>Membership Cards (Blank)</c:v>
                </c:pt>
                <c:pt idx="2">
                  <c:v>Fingerprint Forms SF/003</c:v>
                </c:pt>
                <c:pt idx="3">
                  <c:v>App. For Employer SF/001</c:v>
                </c:pt>
                <c:pt idx="4">
                  <c:v>Registration Gen. Folders</c:v>
                </c:pt>
                <c:pt idx="5">
                  <c:v>Ben. App. Forms SF/001</c:v>
                </c:pt>
                <c:pt idx="6">
                  <c:v>Payment of Benefit Forms/004</c:v>
                </c:pt>
                <c:pt idx="7">
                  <c:v>Survivor Ben. Form</c:v>
                </c:pt>
                <c:pt idx="8">
                  <c:v>Laminating Pouches</c:v>
                </c:pt>
                <c:pt idx="9">
                  <c:v>Envelopes A4</c:v>
                </c:pt>
              </c:strCache>
            </c:strRef>
          </c:cat>
          <c:val>
            <c:numRef>
              <c:f>'MIN CONSUMPTION'!$C$7:$C$17</c:f>
              <c:numCache>
                <c:formatCode>0.00%</c:formatCode>
                <c:ptCount val="10"/>
                <c:pt idx="0">
                  <c:v>10</c:v>
                </c:pt>
                <c:pt idx="1">
                  <c:v>10</c:v>
                </c:pt>
                <c:pt idx="2">
                  <c:v>5</c:v>
                </c:pt>
                <c:pt idx="3">
                  <c:v>5</c:v>
                </c:pt>
                <c:pt idx="4">
                  <c:v>2</c:v>
                </c:pt>
                <c:pt idx="5">
                  <c:v>1.5</c:v>
                </c:pt>
                <c:pt idx="6">
                  <c:v>1</c:v>
                </c:pt>
                <c:pt idx="7">
                  <c:v>1</c:v>
                </c:pt>
                <c:pt idx="8">
                  <c:v>1</c:v>
                </c:pt>
                <c:pt idx="9">
                  <c:v>1</c:v>
                </c:pt>
              </c:numCache>
            </c:numRef>
          </c:val>
          <c:extLst>
            <c:ext xmlns:c16="http://schemas.microsoft.com/office/drawing/2014/chart" uri="{C3380CC4-5D6E-409C-BE32-E72D297353CC}">
              <c16:uniqueId val="{00000001-05CF-4947-9F74-E75534D68134}"/>
            </c:ext>
          </c:extLst>
        </c:ser>
        <c:dLbls>
          <c:dLblPos val="outEnd"/>
          <c:showLegendKey val="0"/>
          <c:showVal val="1"/>
          <c:showCatName val="0"/>
          <c:showSerName val="0"/>
          <c:showPercent val="0"/>
          <c:showBubbleSize val="0"/>
        </c:dLbls>
        <c:gapWidth val="115"/>
        <c:overlap val="-20"/>
        <c:axId val="508482056"/>
        <c:axId val="508484576"/>
      </c:barChart>
      <c:catAx>
        <c:axId val="508482056"/>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484576"/>
        <c:crosses val="autoZero"/>
        <c:auto val="1"/>
        <c:lblAlgn val="ctr"/>
        <c:lblOffset val="100"/>
        <c:noMultiLvlLbl val="0"/>
      </c:catAx>
      <c:valAx>
        <c:axId val="508484576"/>
        <c:scaling>
          <c:orientation val="minMax"/>
        </c:scaling>
        <c:delete val="1"/>
        <c:axPos val="t"/>
        <c:numFmt formatCode="General" sourceLinked="1"/>
        <c:majorTickMark val="none"/>
        <c:minorTickMark val="none"/>
        <c:tickLblPos val="nextTo"/>
        <c:crossAx val="50848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600" b="1" i="0" u="none" strike="noStrike" kern="1200" spc="100" baseline="0">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100000" b="100000"/>
                  </a:path>
                  <a:tileRect t="-100000" r="-100000"/>
                </a:gradFill>
                <a:effectLst>
                  <a:glow rad="1282700">
                    <a:schemeClr val="tx1">
                      <a:lumMod val="85000"/>
                      <a:lumOff val="15000"/>
                      <a:alpha val="40000"/>
                    </a:schemeClr>
                  </a:glow>
                </a:effectLst>
                <a:latin typeface="+mn-lt"/>
                <a:ea typeface="+mn-ea"/>
                <a:cs typeface="+mn-cs"/>
              </a:defRPr>
            </a:pPr>
            <a:r>
              <a:rPr lang="en-US">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100000" b="100000"/>
                  </a:path>
                  <a:tileRect t="-100000" r="-100000"/>
                </a:gradFill>
                <a:effectLst>
                  <a:glow rad="1282700">
                    <a:schemeClr val="tx1">
                      <a:lumMod val="85000"/>
                      <a:lumOff val="15000"/>
                      <a:alpha val="40000"/>
                    </a:schemeClr>
                  </a:glow>
                </a:effectLst>
              </a:rPr>
              <a:t>MONTHLY ANALYSIS </a:t>
            </a:r>
          </a:p>
        </c:rich>
      </c:tx>
      <c:layout/>
      <c:overlay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100000" t="100000"/>
          </a:path>
          <a:tileRect r="-100000" b="-100000"/>
        </a:gradFill>
        <a:ln>
          <a:gradFill flip="none" rotWithShape="1">
            <a:gsLst>
              <a:gs pos="15000">
                <a:schemeClr val="accent3">
                  <a:lumMod val="89000"/>
                </a:schemeClr>
              </a:gs>
              <a:gs pos="36000">
                <a:schemeClr val="accent3">
                  <a:lumMod val="89000"/>
                </a:schemeClr>
              </a:gs>
              <a:gs pos="69000">
                <a:schemeClr val="accent3">
                  <a:lumMod val="75000"/>
                </a:schemeClr>
              </a:gs>
              <a:gs pos="97000">
                <a:schemeClr val="accent3">
                  <a:lumMod val="70000"/>
                </a:schemeClr>
              </a:gs>
            </a:gsLst>
            <a:path path="rect">
              <a:fillToRect l="100000" t="100000"/>
            </a:path>
            <a:tileRect r="-100000" b="-100000"/>
          </a:gradFill>
        </a:ln>
        <a:effectLst/>
      </c:spPr>
      <c:txPr>
        <a:bodyPr rot="0" spcFirstLastPara="1" vertOverflow="ellipsis" vert="horz" wrap="square" anchor="ctr" anchorCtr="1"/>
        <a:lstStyle/>
        <a:p>
          <a:pPr>
            <a:defRPr sz="1600" b="1" i="0" u="none" strike="noStrike" kern="1200" spc="100" baseline="0">
              <a:gradFill flip="none" rotWithShape="1">
                <a:gsLst>
                  <a:gs pos="0">
                    <a:schemeClr val="accent1">
                      <a:lumMod val="0"/>
                      <a:lumOff val="100000"/>
                    </a:schemeClr>
                  </a:gs>
                  <a:gs pos="35000">
                    <a:schemeClr val="accent1">
                      <a:lumMod val="0"/>
                      <a:lumOff val="100000"/>
                    </a:schemeClr>
                  </a:gs>
                  <a:gs pos="100000">
                    <a:schemeClr val="accent1">
                      <a:lumMod val="100000"/>
                    </a:schemeClr>
                  </a:gs>
                </a:gsLst>
                <a:path path="circle">
                  <a:fillToRect l="100000" b="100000"/>
                </a:path>
                <a:tileRect t="-100000" r="-100000"/>
              </a:gradFill>
              <a:effectLst>
                <a:glow rad="1282700">
                  <a:schemeClr val="tx1">
                    <a:lumMod val="85000"/>
                    <a:lumOff val="15000"/>
                    <a:alpha val="40000"/>
                  </a:schemeClr>
                </a:glow>
              </a:effectLst>
              <a:latin typeface="+mn-lt"/>
              <a:ea typeface="+mn-ea"/>
              <a:cs typeface="+mn-cs"/>
            </a:defRPr>
          </a:pPr>
          <a:endParaRPr lang="en-US"/>
        </a:p>
      </c:txPr>
    </c:title>
    <c:autoTitleDeleted val="0"/>
    <c:plotArea>
      <c:layout/>
      <c:barChart>
        <c:barDir val="col"/>
        <c:grouping val="clustered"/>
        <c:varyColors val="0"/>
        <c:ser>
          <c:idx val="0"/>
          <c:order val="0"/>
          <c:tx>
            <c:strRef>
              <c:f>DASHBOARD!$B$3</c:f>
              <c:strCache>
                <c:ptCount val="1"/>
                <c:pt idx="0">
                  <c:v>TOTAL ISSUED</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gradFill flip="none" rotWithShape="1">
                <a:gsLst>
                  <a:gs pos="0">
                    <a:schemeClr val="accent5">
                      <a:lumMod val="0"/>
                      <a:lumOff val="100000"/>
                    </a:schemeClr>
                  </a:gs>
                  <a:gs pos="0">
                    <a:schemeClr val="accent5">
                      <a:lumMod val="0"/>
                      <a:lumOff val="100000"/>
                    </a:schemeClr>
                  </a:gs>
                  <a:gs pos="100000">
                    <a:schemeClr val="accent5">
                      <a:lumMod val="100000"/>
                    </a:schemeClr>
                  </a:gs>
                </a:gsLst>
                <a:lin ang="2700000" scaled="1"/>
                <a:tileRect/>
              </a:gradFill>
              <a:ln>
                <a:noFill/>
              </a:ln>
              <a:effectLst>
                <a:glow rad="139700">
                  <a:schemeClr val="accent5">
                    <a:satMod val="175000"/>
                    <a:alpha val="40000"/>
                  </a:schemeClr>
                </a:glow>
                <a:outerShdw blurRad="50800" dist="50800" dir="1800000" algn="ctr" rotWithShape="0">
                  <a:srgbClr val="000000">
                    <a:alpha val="43137"/>
                  </a:srgbClr>
                </a:outerShdw>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DASHBOARD!$A$4:$A$15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DASHBOARD!$B$4:$B$15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0-7367-4493-886E-9372C6BE09F1}"/>
            </c:ext>
          </c:extLst>
        </c:ser>
        <c:ser>
          <c:idx val="1"/>
          <c:order val="1"/>
          <c:tx>
            <c:strRef>
              <c:f>DASHBOARD!$C$3</c:f>
              <c:strCache>
                <c:ptCount val="1"/>
                <c:pt idx="0">
                  <c:v>TOTAL LOANED</c:v>
                </c:pt>
              </c:strCache>
            </c:strRef>
          </c:tx>
          <c:spPr>
            <a:gradFill flip="none" rotWithShape="1">
              <a:gsLst>
                <a:gs pos="0">
                  <a:schemeClr val="accent4">
                    <a:lumMod val="89000"/>
                  </a:schemeClr>
                </a:gs>
                <a:gs pos="23000">
                  <a:schemeClr val="accent4">
                    <a:lumMod val="89000"/>
                  </a:schemeClr>
                </a:gs>
                <a:gs pos="69000">
                  <a:schemeClr val="accent4">
                    <a:lumMod val="75000"/>
                  </a:schemeClr>
                </a:gs>
                <a:gs pos="97000">
                  <a:schemeClr val="accent4">
                    <a:lumMod val="70000"/>
                  </a:schemeClr>
                </a:gs>
              </a:gsLst>
              <a:path path="circle">
                <a:fillToRect l="50000" t="50000" r="50000" b="50000"/>
              </a:path>
              <a:tileRect/>
            </a:gradFill>
            <a:ln>
              <a:noFill/>
            </a:ln>
            <a:effectLst>
              <a:glow rad="228600">
                <a:srgbClr val="350101">
                  <a:alpha val="40000"/>
                </a:srgbClr>
              </a:glow>
            </a:effectLst>
            <a:scene3d>
              <a:camera prst="orthographicFront">
                <a:rot lat="0" lon="0" rev="0"/>
              </a:camera>
              <a:lightRig rig="contrasting" dir="t">
                <a:rot lat="0" lon="0" rev="3600000"/>
              </a:lightRig>
            </a:scene3d>
            <a:sp3d prstMaterial="plastic">
              <a:bevelT w="127000" h="38200" prst="relaxedInset"/>
            </a:sp3d>
          </c:spPr>
          <c:invertIfNegative val="0"/>
          <c:dLbls>
            <c:dLbl>
              <c:idx val="1"/>
              <c:layout/>
              <c:dLblPos val="outEnd"/>
              <c:showLegendKey val="0"/>
              <c:showVal val="1"/>
              <c:showCatName val="0"/>
              <c:showSerName val="0"/>
              <c:showPercent val="0"/>
              <c:showBubbleSize val="0"/>
              <c:extLst>
                <c:ext xmlns:c15="http://schemas.microsoft.com/office/drawing/2012/chart" uri="{CE6537A1-D6FC-4f65-9D91-7224C49458BB}">
                  <c15:layout/>
                </c:ext>
                <c:ext xmlns:c16="http://schemas.microsoft.com/office/drawing/2014/chart" uri="{C3380CC4-5D6E-409C-BE32-E72D297353CC}">
                  <c16:uniqueId val="{00000003-CC70-4862-AB89-3891DABE0EF1}"/>
                </c:ext>
              </c:extLst>
            </c:dLbl>
            <c:spPr>
              <a:solidFill>
                <a:srgbClr val="350101"/>
              </a:solidFill>
              <a:ln>
                <a:noFill/>
              </a:ln>
              <a:effectLst>
                <a:glow rad="228600">
                  <a:schemeClr val="accent2">
                    <a:satMod val="175000"/>
                    <a:alpha val="40000"/>
                  </a:schemeClr>
                </a:glow>
              </a:effectLst>
            </c:spPr>
            <c:txPr>
              <a:bodyPr rot="0" spcFirstLastPara="1" vertOverflow="ellipsis" vert="horz" wrap="square" lIns="38100" tIns="19050" rIns="38100" bIns="19050" anchor="ctr" anchorCtr="1">
                <a:spAutoFit/>
              </a:bodyPr>
              <a:lstStyle/>
              <a:p>
                <a:pPr>
                  <a:defRPr sz="900" b="0" i="0" u="none" strike="noStrike" kern="1200" baseline="0">
                    <a:ln>
                      <a:solidFill>
                        <a:schemeClr val="accent1"/>
                      </a:solidFill>
                    </a:ln>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DASHBOARD!$A$4:$A$15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DASHBOARD!$C$4:$C$15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1-7367-4493-886E-9372C6BE09F1}"/>
            </c:ext>
          </c:extLst>
        </c:ser>
        <c:ser>
          <c:idx val="2"/>
          <c:order val="2"/>
          <c:tx>
            <c:strRef>
              <c:f>DASHBOARD!$D$3</c:f>
              <c:strCache>
                <c:ptCount val="1"/>
                <c:pt idx="0">
                  <c:v>TOTAL RECEIVED</c:v>
                </c:pt>
              </c:strCache>
            </c:strRef>
          </c:tx>
          <c:spPr>
            <a:gradFill flip="none" rotWithShape="1">
              <a:gsLst>
                <a:gs pos="0">
                  <a:schemeClr val="accent2">
                    <a:lumMod val="89000"/>
                  </a:schemeClr>
                </a:gs>
                <a:gs pos="25000">
                  <a:schemeClr val="accent2">
                    <a:lumMod val="89000"/>
                  </a:schemeClr>
                </a:gs>
                <a:gs pos="69000">
                  <a:schemeClr val="accent2">
                    <a:lumMod val="75000"/>
                  </a:schemeClr>
                </a:gs>
                <a:gs pos="97000">
                  <a:schemeClr val="accent2">
                    <a:lumMod val="70000"/>
                  </a:schemeClr>
                </a:gs>
              </a:gsLst>
              <a:lin ang="2700000" scaled="1"/>
              <a:tileRect/>
            </a:gradFill>
            <a:ln cap="rnd">
              <a:solidFill>
                <a:schemeClr val="accent1"/>
              </a:solidFill>
            </a:ln>
            <a:effectLst/>
            <a:scene3d>
              <a:camera prst="orthographicFront">
                <a:rot lat="0" lon="0" rev="0"/>
              </a:camera>
              <a:lightRig rig="contrasting" dir="t">
                <a:rot lat="0" lon="0" rev="3600000"/>
              </a:lightRig>
            </a:scene3d>
            <a:sp3d prstMaterial="plastic">
              <a:bevelT w="127000" h="38200" prst="relaxedInset"/>
            </a:sp3d>
          </c:spPr>
          <c:invertIfNegative val="0"/>
          <c:dLbls>
            <c:spPr>
              <a:gradFill flip="none" rotWithShape="1">
                <a:gsLst>
                  <a:gs pos="5000">
                    <a:schemeClr val="tx1"/>
                  </a:gs>
                  <a:gs pos="94000">
                    <a:schemeClr val="accent2">
                      <a:lumMod val="97000"/>
                      <a:lumOff val="3000"/>
                    </a:schemeClr>
                  </a:gs>
                  <a:gs pos="100000">
                    <a:schemeClr val="accent2">
                      <a:lumMod val="60000"/>
                      <a:lumOff val="40000"/>
                    </a:schemeClr>
                  </a:gs>
                </a:gsLst>
                <a:lin ang="16200000" scaled="1"/>
                <a:tileRect/>
              </a:gradFill>
              <a:ln>
                <a:noFill/>
              </a:ln>
              <a:effectLst>
                <a:glow rad="127000">
                  <a:schemeClr val="tx1"/>
                </a:glow>
              </a:effectLst>
            </c:spPr>
            <c:txPr>
              <a:bodyPr rot="0" spcFirstLastPara="1" vertOverflow="ellipsis" vert="horz" wrap="square" lIns="38100" tIns="19050" rIns="38100" bIns="19050" anchor="ctr" anchorCtr="1">
                <a:spAutoFit/>
              </a:bodyPr>
              <a:lstStyle/>
              <a:p>
                <a:pPr>
                  <a:defRPr sz="900" b="0" i="0" u="none" strike="noStrike" kern="1200" baseline="0">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solidFill>
                      <a:schemeClr val="tx1"/>
                    </a:solidFill>
                    <a:effectLst>
                      <a:glow rad="139700">
                        <a:schemeClr val="accent2">
                          <a:satMod val="175000"/>
                          <a:alpha val="40000"/>
                        </a:schemeClr>
                      </a:glow>
                    </a:effectLst>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DASHBOARD!$A$4:$A$15</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DASHBOARD!$D$4:$D$15</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extLst>
            <c:ext xmlns:c16="http://schemas.microsoft.com/office/drawing/2014/chart" uri="{C3380CC4-5D6E-409C-BE32-E72D297353CC}">
              <c16:uniqueId val="{00000002-CC70-4862-AB89-3891DABE0EF1}"/>
            </c:ext>
          </c:extLst>
        </c:ser>
        <c:dLbls>
          <c:showLegendKey val="0"/>
          <c:showVal val="0"/>
          <c:showCatName val="0"/>
          <c:showSerName val="0"/>
          <c:showPercent val="0"/>
          <c:showBubbleSize val="0"/>
        </c:dLbls>
        <c:gapWidth val="100"/>
        <c:overlap val="-24"/>
        <c:axId val="2006715215"/>
        <c:axId val="2008504255"/>
      </c:barChart>
      <c:catAx>
        <c:axId val="2006715215"/>
        <c:scaling>
          <c:orientation val="minMax"/>
        </c:scaling>
        <c:delete val="0"/>
        <c:axPos val="b"/>
        <c:title>
          <c:tx>
            <c:rich>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Month</a:t>
                </a:r>
              </a:p>
            </c:rich>
          </c:tx>
          <c:layout/>
          <c:overlay val="0"/>
          <c:spPr>
            <a:gradFill flip="none" rotWithShape="1">
              <a:gsLst>
                <a:gs pos="0">
                  <a:schemeClr val="accent5">
                    <a:lumMod val="67000"/>
                  </a:schemeClr>
                </a:gs>
                <a:gs pos="48000">
                  <a:schemeClr val="accent5">
                    <a:lumMod val="97000"/>
                    <a:lumOff val="3000"/>
                  </a:schemeClr>
                </a:gs>
                <a:gs pos="100000">
                  <a:schemeClr val="accent5">
                    <a:lumMod val="60000"/>
                    <a:lumOff val="40000"/>
                  </a:schemeClr>
                </a:gs>
              </a:gsLst>
              <a:lin ang="16200000" scaled="1"/>
              <a:tileRect/>
            </a:gradFill>
            <a:ln cap="rnd">
              <a:gradFill flip="none" rotWithShape="1">
                <a:gsLst>
                  <a:gs pos="0">
                    <a:schemeClr val="accent3">
                      <a:lumMod val="5000"/>
                      <a:lumOff val="95000"/>
                    </a:schemeClr>
                  </a:gs>
                  <a:gs pos="45000">
                    <a:schemeClr val="accent3">
                      <a:lumMod val="45000"/>
                      <a:lumOff val="55000"/>
                    </a:schemeClr>
                  </a:gs>
                  <a:gs pos="83000">
                    <a:schemeClr val="accent3">
                      <a:lumMod val="45000"/>
                      <a:lumOff val="55000"/>
                    </a:schemeClr>
                  </a:gs>
                  <a:gs pos="100000">
                    <a:schemeClr val="accent3">
                      <a:lumMod val="30000"/>
                      <a:lumOff val="70000"/>
                    </a:schemeClr>
                  </a:gs>
                </a:gsLst>
                <a:lin ang="0" scaled="1"/>
                <a:tileRect/>
              </a:gradFill>
            </a:ln>
            <a:effectLst/>
          </c:spPr>
          <c:txPr>
            <a:bodyPr rot="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8504255"/>
        <c:crosses val="autoZero"/>
        <c:auto val="1"/>
        <c:lblAlgn val="ctr"/>
        <c:lblOffset val="100"/>
        <c:noMultiLvlLbl val="0"/>
      </c:catAx>
      <c:valAx>
        <c:axId val="2008504255"/>
        <c:scaling>
          <c:orientation val="minMax"/>
        </c:scaling>
        <c:delete val="0"/>
        <c:axPos val="l"/>
        <c:majorGridlines>
          <c:spPr>
            <a:ln w="9525" cap="flat" cmpd="sng" algn="ctr">
              <a:solidFill>
                <a:schemeClr val="lt1">
                  <a:lumMod val="95000"/>
                  <a:alpha val="10000"/>
                </a:schemeClr>
              </a:solidFill>
              <a:round/>
            </a:ln>
            <a:effectLst>
              <a:glow rad="25400">
                <a:schemeClr val="accent6">
                  <a:satMod val="175000"/>
                  <a:alpha val="40000"/>
                </a:schemeClr>
              </a:glow>
            </a:effectLst>
          </c:spPr>
        </c:majorGridlines>
        <c:title>
          <c:tx>
            <c:rich>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r>
                  <a:rPr lang="en-US"/>
                  <a:t>Volume</a:t>
                </a:r>
              </a:p>
            </c:rich>
          </c:tx>
          <c:layout/>
          <c:overlay val="0"/>
          <c:spPr>
            <a:gradFill flip="none" rotWithShape="1">
              <a:gsLst>
                <a:gs pos="0">
                  <a:schemeClr val="accent6">
                    <a:lumMod val="40000"/>
                    <a:lumOff val="60000"/>
                  </a:schemeClr>
                </a:gs>
                <a:gs pos="27000">
                  <a:schemeClr val="accent6">
                    <a:lumMod val="95000"/>
                    <a:lumOff val="5000"/>
                  </a:schemeClr>
                </a:gs>
                <a:gs pos="100000">
                  <a:schemeClr val="accent6">
                    <a:lumMod val="60000"/>
                  </a:schemeClr>
                </a:gs>
              </a:gsLst>
              <a:path path="circle">
                <a:fillToRect l="50000" t="130000" r="50000" b="-30000"/>
              </a:path>
              <a:tileRect/>
            </a:gradFill>
            <a:ln cap="rnd">
              <a:solidFill>
                <a:schemeClr val="accent1"/>
              </a:solidFill>
            </a:ln>
            <a:effectLst/>
          </c:spPr>
          <c:txPr>
            <a:bodyPr rot="-5400000" spcFirstLastPara="1" vertOverflow="ellipsis" vert="horz" wrap="square" anchor="ctr" anchorCtr="1"/>
            <a:lstStyle/>
            <a:p>
              <a:pPr>
                <a:defRPr sz="9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2006715215"/>
        <c:crosses val="autoZero"/>
        <c:crossBetween val="between"/>
      </c:valAx>
      <c:spPr>
        <a:noFill/>
        <a:ln>
          <a:noFill/>
        </a:ln>
        <a:effectLst/>
      </c:spPr>
    </c:plotArea>
    <c:legend>
      <c:legendPos val="r"/>
      <c:legendEntry>
        <c:idx val="1"/>
        <c:txPr>
          <a:bodyPr rot="0" spcFirstLastPara="1" vertOverflow="ellipsis" vert="horz" wrap="square" anchor="ctr" anchorCtr="1"/>
          <a:lstStyle/>
          <a:p>
            <a:pPr>
              <a:defRPr sz="900" b="0" i="0" u="none" strike="noStrike" kern="1200" baseline="0">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atin typeface="+mn-lt"/>
                <a:ea typeface="+mn-ea"/>
                <a:cs typeface="+mn-cs"/>
              </a:defRPr>
            </a:pPr>
            <a:endParaRPr lang="en-US"/>
          </a:p>
        </c:txPr>
      </c:legendEntry>
      <c:layout/>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orientation="landscape"/>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[Official Master Stock Control Sheet SF-Computer &amp; Maintenance Stores REVISING.xlsx]AVERAGE CONSUMPTION!PivotTable1</c:name>
    <c:fmtId val="9"/>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AVERAGE CONSUMPTION</a:t>
            </a:r>
          </a:p>
        </c:rich>
      </c:tx>
      <c:layout/>
      <c:overlay val="0"/>
      <c:spPr>
        <a:gradFill flip="none" rotWithShape="1">
          <a:gsLst>
            <a:gs pos="45000">
              <a:schemeClr val="accent4">
                <a:lumMod val="0"/>
                <a:lumOff val="100000"/>
              </a:schemeClr>
            </a:gs>
            <a:gs pos="38080">
              <a:srgbClr val="FFFFFF"/>
            </a:gs>
            <a:gs pos="23000">
              <a:schemeClr val="accent4">
                <a:lumMod val="0"/>
                <a:lumOff val="100000"/>
              </a:schemeClr>
            </a:gs>
            <a:gs pos="100000">
              <a:schemeClr val="accent4">
                <a:lumMod val="100000"/>
              </a:schemeClr>
            </a:gs>
          </a:gsLst>
          <a:path path="circle">
            <a:fillToRect l="50000" t="-80000" r="50000" b="180000"/>
          </a:path>
          <a:tileRect/>
        </a:gra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dLbl>
          <c:idx val="0"/>
          <c:dLblPos val="in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1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1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1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1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1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1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1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1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2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2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2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2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2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2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2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2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2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2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3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3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32"/>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33"/>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34"/>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3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3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3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3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3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4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pivotFmt>
      <c:pivotFmt>
        <c:idx val="4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
      </c:pivotFmt>
    </c:pivotFmts>
    <c:plotArea>
      <c:layout>
        <c:manualLayout>
          <c:layoutTarget val="inner"/>
          <c:xMode val="edge"/>
          <c:yMode val="edge"/>
          <c:x val="0.23599087887373918"/>
          <c:y val="0.31111801391798505"/>
          <c:w val="0.74258052733467972"/>
          <c:h val="0.61307375568879574"/>
        </c:manualLayout>
      </c:layout>
      <c:barChart>
        <c:barDir val="bar"/>
        <c:grouping val="clustered"/>
        <c:varyColors val="0"/>
        <c:ser>
          <c:idx val="0"/>
          <c:order val="0"/>
          <c:tx>
            <c:strRef>
              <c:f>'AVERAGE CONSUMPTION'!$B$6:$B$7</c:f>
              <c:strCache>
                <c:ptCount val="1"/>
                <c:pt idx="0">
                  <c:v>Issue</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multiLvlStrRef>
              <c:f>'AVERAGE CONSUMPTION'!$A$8:$A$138</c:f>
              <c:multiLvlStrCache>
                <c:ptCount val="115"/>
                <c:lvl>
                  <c:pt idx="0">
                    <c:v>CITY CENTRE</c:v>
                  </c:pt>
                  <c:pt idx="1">
                    <c:v>UKUNDA</c:v>
                  </c:pt>
                  <c:pt idx="2">
                    <c:v>MACHAKOS</c:v>
                  </c:pt>
                  <c:pt idx="3">
                    <c:v>HILL BRANCH</c:v>
                  </c:pt>
                  <c:pt idx="4">
                    <c:v>MOMBASA</c:v>
                  </c:pt>
                  <c:pt idx="5">
                    <c:v>KAKAMEGA</c:v>
                  </c:pt>
                  <c:pt idx="6">
                    <c:v>KIAMBU</c:v>
                  </c:pt>
                  <c:pt idx="7">
                    <c:v>ELDORET</c:v>
                  </c:pt>
                  <c:pt idx="8">
                    <c:v>MTWAPA</c:v>
                  </c:pt>
                  <c:pt idx="9">
                    <c:v>KITENGELA</c:v>
                  </c:pt>
                  <c:pt idx="10">
                    <c:v>REGISTRATION &amp; COMPLIANCE</c:v>
                  </c:pt>
                  <c:pt idx="11">
                    <c:v>INDUSTRIAL AREA</c:v>
                  </c:pt>
                  <c:pt idx="12">
                    <c:v>DONHOLM</c:v>
                  </c:pt>
                  <c:pt idx="13">
                    <c:v>NAKURU</c:v>
                  </c:pt>
                  <c:pt idx="14">
                    <c:v>KITUI</c:v>
                  </c:pt>
                  <c:pt idx="15">
                    <c:v>THIKA</c:v>
                  </c:pt>
                  <c:pt idx="16">
                    <c:v>CITY CENTRE</c:v>
                  </c:pt>
                  <c:pt idx="17">
                    <c:v>MACHAKOS</c:v>
                  </c:pt>
                  <c:pt idx="18">
                    <c:v>HILL BRANCH</c:v>
                  </c:pt>
                  <c:pt idx="19">
                    <c:v>MOMBASA</c:v>
                  </c:pt>
                  <c:pt idx="20">
                    <c:v>KIAMBU</c:v>
                  </c:pt>
                  <c:pt idx="21">
                    <c:v>ELDORET</c:v>
                  </c:pt>
                  <c:pt idx="22">
                    <c:v>MTWAPA</c:v>
                  </c:pt>
                  <c:pt idx="23">
                    <c:v>KITENGELA</c:v>
                  </c:pt>
                  <c:pt idx="24">
                    <c:v>INDUSTRIAL AREA</c:v>
                  </c:pt>
                  <c:pt idx="25">
                    <c:v>DONHOLM</c:v>
                  </c:pt>
                  <c:pt idx="26">
                    <c:v>NAKURU</c:v>
                  </c:pt>
                  <c:pt idx="27">
                    <c:v>KAKAMEGA</c:v>
                  </c:pt>
                  <c:pt idx="28">
                    <c:v>CITY CENTRE</c:v>
                  </c:pt>
                  <c:pt idx="29">
                    <c:v>MOMBASA</c:v>
                  </c:pt>
                  <c:pt idx="30">
                    <c:v>KAKAMEGA</c:v>
                  </c:pt>
                  <c:pt idx="31">
                    <c:v>KIAMBU</c:v>
                  </c:pt>
                  <c:pt idx="32">
                    <c:v>ELDORET</c:v>
                  </c:pt>
                  <c:pt idx="33">
                    <c:v>MTWAPA</c:v>
                  </c:pt>
                  <c:pt idx="34">
                    <c:v>HOMABAY</c:v>
                  </c:pt>
                  <c:pt idx="35">
                    <c:v>KITENGELA</c:v>
                  </c:pt>
                  <c:pt idx="36">
                    <c:v>WESTLANDS</c:v>
                  </c:pt>
                  <c:pt idx="37">
                    <c:v>THIKA</c:v>
                  </c:pt>
                  <c:pt idx="38">
                    <c:v>CITY CENTRE</c:v>
                  </c:pt>
                  <c:pt idx="39">
                    <c:v>UKUNDA</c:v>
                  </c:pt>
                  <c:pt idx="40">
                    <c:v>KAKAMEGA</c:v>
                  </c:pt>
                  <c:pt idx="41">
                    <c:v>KIAMBU</c:v>
                  </c:pt>
                  <c:pt idx="42">
                    <c:v>KITENGELA</c:v>
                  </c:pt>
                  <c:pt idx="43">
                    <c:v>WESTLANDS</c:v>
                  </c:pt>
                  <c:pt idx="44">
                    <c:v>THIKA</c:v>
                  </c:pt>
                  <c:pt idx="45">
                    <c:v>MACHAKOS</c:v>
                  </c:pt>
                  <c:pt idx="46">
                    <c:v>HILL BRANCH</c:v>
                  </c:pt>
                  <c:pt idx="47">
                    <c:v>MOMBASA</c:v>
                  </c:pt>
                  <c:pt idx="48">
                    <c:v>KAKAMEGA</c:v>
                  </c:pt>
                  <c:pt idx="49">
                    <c:v>KIAMBU</c:v>
                  </c:pt>
                  <c:pt idx="50">
                    <c:v>EASTLEIGH</c:v>
                  </c:pt>
                  <c:pt idx="51">
                    <c:v>MTWAPA</c:v>
                  </c:pt>
                  <c:pt idx="52">
                    <c:v>HOMABAY</c:v>
                  </c:pt>
                  <c:pt idx="53">
                    <c:v>KITENGELA</c:v>
                  </c:pt>
                  <c:pt idx="54">
                    <c:v>INDUSTRIAL AREA</c:v>
                  </c:pt>
                  <c:pt idx="55">
                    <c:v>NAKURU</c:v>
                  </c:pt>
                  <c:pt idx="56">
                    <c:v>WESTLANDS</c:v>
                  </c:pt>
                  <c:pt idx="57">
                    <c:v>THIKA</c:v>
                  </c:pt>
                  <c:pt idx="58">
                    <c:v>UKUNDA</c:v>
                  </c:pt>
                  <c:pt idx="59">
                    <c:v>MACHAKOS</c:v>
                  </c:pt>
                  <c:pt idx="60">
                    <c:v>HILL BRANCH</c:v>
                  </c:pt>
                  <c:pt idx="61">
                    <c:v>KAKAMEGA</c:v>
                  </c:pt>
                  <c:pt idx="62">
                    <c:v>KIAMBU</c:v>
                  </c:pt>
                  <c:pt idx="63">
                    <c:v>ELDORET</c:v>
                  </c:pt>
                  <c:pt idx="64">
                    <c:v>EASTLEIGH</c:v>
                  </c:pt>
                  <c:pt idx="65">
                    <c:v>MTWAPA</c:v>
                  </c:pt>
                  <c:pt idx="66">
                    <c:v>HOMABAY</c:v>
                  </c:pt>
                  <c:pt idx="67">
                    <c:v>KITENGELA</c:v>
                  </c:pt>
                  <c:pt idx="68">
                    <c:v>INDUSTRIAL AREA</c:v>
                  </c:pt>
                  <c:pt idx="69">
                    <c:v>DONHOLM</c:v>
                  </c:pt>
                  <c:pt idx="70">
                    <c:v>NAKURU</c:v>
                  </c:pt>
                  <c:pt idx="71">
                    <c:v>WESTLANDS</c:v>
                  </c:pt>
                  <c:pt idx="72">
                    <c:v>THIKA</c:v>
                  </c:pt>
                  <c:pt idx="73">
                    <c:v>CITY CENTRE</c:v>
                  </c:pt>
                  <c:pt idx="74">
                    <c:v>UKUNDA</c:v>
                  </c:pt>
                  <c:pt idx="75">
                    <c:v>KIAMBU</c:v>
                  </c:pt>
                  <c:pt idx="76">
                    <c:v>ELDORET</c:v>
                  </c:pt>
                  <c:pt idx="77">
                    <c:v>EASTLEIGH</c:v>
                  </c:pt>
                  <c:pt idx="78">
                    <c:v>HOMABAY</c:v>
                  </c:pt>
                  <c:pt idx="79">
                    <c:v>NAKURU</c:v>
                  </c:pt>
                  <c:pt idx="80">
                    <c:v>FINANCE</c:v>
                  </c:pt>
                  <c:pt idx="81">
                    <c:v>INVESTMENTS</c:v>
                  </c:pt>
                  <c:pt idx="82">
                    <c:v>STRATEGY &amp; CHANGE</c:v>
                  </c:pt>
                  <c:pt idx="83">
                    <c:v>REGISTRATION &amp; COMPLIANCE</c:v>
                  </c:pt>
                  <c:pt idx="84">
                    <c:v>GM HR/ADM</c:v>
                  </c:pt>
                  <c:pt idx="85">
                    <c:v>HR TALENT ACQUISITION</c:v>
                  </c:pt>
                  <c:pt idx="86">
                    <c:v>PROPERTY DEVELOPMENT</c:v>
                  </c:pt>
                  <c:pt idx="87">
                    <c:v>ETHICS &amp; INTEGRITY</c:v>
                  </c:pt>
                  <c:pt idx="88">
                    <c:v>MEMBER RECORDS</c:v>
                  </c:pt>
                  <c:pt idx="89">
                    <c:v>RISK MANAGEMENT</c:v>
                  </c:pt>
                  <c:pt idx="90">
                    <c:v>FINANCE</c:v>
                  </c:pt>
                  <c:pt idx="91">
                    <c:v>INVESTMENTS</c:v>
                  </c:pt>
                  <c:pt idx="92">
                    <c:v>REGISTRATION &amp; COMPLIANCE</c:v>
                  </c:pt>
                  <c:pt idx="93">
                    <c:v>GM HR/ADM</c:v>
                  </c:pt>
                  <c:pt idx="94">
                    <c:v>HUMAN CAPITAL/HR</c:v>
                  </c:pt>
                  <c:pt idx="95">
                    <c:v>HR TALENT ACQUISITION</c:v>
                  </c:pt>
                  <c:pt idx="96">
                    <c:v>ETHICS &amp; INTEGRITY</c:v>
                  </c:pt>
                  <c:pt idx="97">
                    <c:v>PROPERTY MANAGEMENT</c:v>
                  </c:pt>
                  <c:pt idx="98">
                    <c:v>ADMINISTRATION</c:v>
                  </c:pt>
                  <c:pt idx="99">
                    <c:v>MEMBER RECORDS</c:v>
                  </c:pt>
                  <c:pt idx="100">
                    <c:v>THIKA</c:v>
                  </c:pt>
                  <c:pt idx="101">
                    <c:v>MACHAKOS</c:v>
                  </c:pt>
                  <c:pt idx="102">
                    <c:v>MOMBASA</c:v>
                  </c:pt>
                  <c:pt idx="103">
                    <c:v>KAKAMEGA</c:v>
                  </c:pt>
                  <c:pt idx="104">
                    <c:v>ELDORET</c:v>
                  </c:pt>
                  <c:pt idx="105">
                    <c:v>EASTLEIGH</c:v>
                  </c:pt>
                  <c:pt idx="106">
                    <c:v>MTWAPA</c:v>
                  </c:pt>
                  <c:pt idx="107">
                    <c:v>HOMABAY</c:v>
                  </c:pt>
                  <c:pt idx="108">
                    <c:v>REGISTRATION &amp; COMPLIANCE</c:v>
                  </c:pt>
                  <c:pt idx="109">
                    <c:v>PROPERTY MANAGEMENT</c:v>
                  </c:pt>
                  <c:pt idx="110">
                    <c:v>MOMBASA</c:v>
                  </c:pt>
                  <c:pt idx="111">
                    <c:v>MTWAPA</c:v>
                  </c:pt>
                  <c:pt idx="112">
                    <c:v>HUMAN CAPITAL/HR</c:v>
                  </c:pt>
                  <c:pt idx="113">
                    <c:v>HOMABAY</c:v>
                  </c:pt>
                  <c:pt idx="114">
                    <c:v>NAKURU</c:v>
                  </c:pt>
                </c:lvl>
                <c:lvl>
                  <c:pt idx="0">
                    <c:v>Membership Cards (Blank)</c:v>
                  </c:pt>
                  <c:pt idx="15">
                    <c:v>Laminating Pouches</c:v>
                  </c:pt>
                  <c:pt idx="27">
                    <c:v>Schedule of Contribution</c:v>
                  </c:pt>
                  <c:pt idx="28">
                    <c:v>Fingerprint Forms SF/003</c:v>
                  </c:pt>
                  <c:pt idx="36">
                    <c:v>App. For Employer SF/001</c:v>
                  </c:pt>
                  <c:pt idx="43">
                    <c:v>Payment of Benefit Forms/004</c:v>
                  </c:pt>
                  <c:pt idx="56">
                    <c:v>Ben. App. Forms SF/001</c:v>
                  </c:pt>
                  <c:pt idx="71">
                    <c:v>Registration Gen. Folders</c:v>
                  </c:pt>
                  <c:pt idx="80">
                    <c:v>Envelopes A4</c:v>
                  </c:pt>
                  <c:pt idx="90">
                    <c:v>Envelopes A5</c:v>
                  </c:pt>
                  <c:pt idx="100">
                    <c:v>Survivor Ben. Form</c:v>
                  </c:pt>
                  <c:pt idx="108">
                    <c:v>Envelopes A3 (16*12) White</c:v>
                  </c:pt>
                  <c:pt idx="110">
                    <c:v>Funeral Grant Forms 006</c:v>
                  </c:pt>
                  <c:pt idx="112">
                    <c:v>Finance Account Folders</c:v>
                  </c:pt>
                  <c:pt idx="113">
                    <c:v>Emigration Benefit Folders</c:v>
                  </c:pt>
                </c:lvl>
              </c:multiLvlStrCache>
            </c:multiLvlStrRef>
          </c:cat>
          <c:val>
            <c:numRef>
              <c:f>'AVERAGE CONSUMPTION'!$B$8:$B$138</c:f>
              <c:numCache>
                <c:formatCode>General</c:formatCode>
                <c:ptCount val="115"/>
                <c:pt idx="0">
                  <c:v>3000</c:v>
                </c:pt>
                <c:pt idx="1">
                  <c:v>2000</c:v>
                </c:pt>
                <c:pt idx="2">
                  <c:v>1000</c:v>
                </c:pt>
                <c:pt idx="3">
                  <c:v>4000</c:v>
                </c:pt>
                <c:pt idx="4">
                  <c:v>3000</c:v>
                </c:pt>
                <c:pt idx="5">
                  <c:v>3000</c:v>
                </c:pt>
                <c:pt idx="6">
                  <c:v>3000</c:v>
                </c:pt>
                <c:pt idx="7">
                  <c:v>3000</c:v>
                </c:pt>
                <c:pt idx="8">
                  <c:v>2000</c:v>
                </c:pt>
                <c:pt idx="9">
                  <c:v>3000</c:v>
                </c:pt>
                <c:pt idx="10">
                  <c:v>1000</c:v>
                </c:pt>
                <c:pt idx="12">
                  <c:v>3000</c:v>
                </c:pt>
                <c:pt idx="13">
                  <c:v>6000</c:v>
                </c:pt>
                <c:pt idx="14">
                  <c:v>1000</c:v>
                </c:pt>
                <c:pt idx="15">
                  <c:v>4000</c:v>
                </c:pt>
                <c:pt idx="16">
                  <c:v>3000</c:v>
                </c:pt>
                <c:pt idx="17">
                  <c:v>2000</c:v>
                </c:pt>
                <c:pt idx="18">
                  <c:v>2000</c:v>
                </c:pt>
                <c:pt idx="19">
                  <c:v>3000</c:v>
                </c:pt>
                <c:pt idx="20">
                  <c:v>100</c:v>
                </c:pt>
                <c:pt idx="21">
                  <c:v>2000</c:v>
                </c:pt>
                <c:pt idx="22">
                  <c:v>2000</c:v>
                </c:pt>
                <c:pt idx="23">
                  <c:v>3000</c:v>
                </c:pt>
                <c:pt idx="25">
                  <c:v>3000</c:v>
                </c:pt>
                <c:pt idx="26">
                  <c:v>2000</c:v>
                </c:pt>
                <c:pt idx="27">
                  <c:v>1000</c:v>
                </c:pt>
                <c:pt idx="28">
                  <c:v>500</c:v>
                </c:pt>
                <c:pt idx="29">
                  <c:v>500</c:v>
                </c:pt>
                <c:pt idx="30">
                  <c:v>500</c:v>
                </c:pt>
                <c:pt idx="31">
                  <c:v>500</c:v>
                </c:pt>
                <c:pt idx="32">
                  <c:v>500</c:v>
                </c:pt>
                <c:pt idx="33">
                  <c:v>500</c:v>
                </c:pt>
                <c:pt idx="34">
                  <c:v>500</c:v>
                </c:pt>
                <c:pt idx="35">
                  <c:v>500</c:v>
                </c:pt>
                <c:pt idx="36">
                  <c:v>500</c:v>
                </c:pt>
                <c:pt idx="37">
                  <c:v>500</c:v>
                </c:pt>
                <c:pt idx="38">
                  <c:v>500</c:v>
                </c:pt>
                <c:pt idx="39">
                  <c:v>500</c:v>
                </c:pt>
                <c:pt idx="40">
                  <c:v>500</c:v>
                </c:pt>
                <c:pt idx="41">
                  <c:v>500</c:v>
                </c:pt>
                <c:pt idx="42">
                  <c:v>500</c:v>
                </c:pt>
                <c:pt idx="43">
                  <c:v>500</c:v>
                </c:pt>
                <c:pt idx="44">
                  <c:v>500</c:v>
                </c:pt>
                <c:pt idx="45">
                  <c:v>500</c:v>
                </c:pt>
                <c:pt idx="46">
                  <c:v>500</c:v>
                </c:pt>
                <c:pt idx="47">
                  <c:v>500</c:v>
                </c:pt>
                <c:pt idx="48">
                  <c:v>500</c:v>
                </c:pt>
                <c:pt idx="49">
                  <c:v>400</c:v>
                </c:pt>
                <c:pt idx="50">
                  <c:v>300</c:v>
                </c:pt>
                <c:pt idx="51">
                  <c:v>100</c:v>
                </c:pt>
                <c:pt idx="52">
                  <c:v>500</c:v>
                </c:pt>
                <c:pt idx="53">
                  <c:v>500</c:v>
                </c:pt>
                <c:pt idx="55">
                  <c:v>500</c:v>
                </c:pt>
                <c:pt idx="56">
                  <c:v>400</c:v>
                </c:pt>
                <c:pt idx="57">
                  <c:v>500</c:v>
                </c:pt>
                <c:pt idx="58">
                  <c:v>400</c:v>
                </c:pt>
                <c:pt idx="59">
                  <c:v>300</c:v>
                </c:pt>
                <c:pt idx="60">
                  <c:v>500</c:v>
                </c:pt>
                <c:pt idx="61">
                  <c:v>300</c:v>
                </c:pt>
                <c:pt idx="62">
                  <c:v>300</c:v>
                </c:pt>
                <c:pt idx="63">
                  <c:v>500</c:v>
                </c:pt>
                <c:pt idx="64">
                  <c:v>300</c:v>
                </c:pt>
                <c:pt idx="65">
                  <c:v>150</c:v>
                </c:pt>
                <c:pt idx="66">
                  <c:v>300</c:v>
                </c:pt>
                <c:pt idx="67">
                  <c:v>400</c:v>
                </c:pt>
                <c:pt idx="68">
                  <c:v>500</c:v>
                </c:pt>
                <c:pt idx="69">
                  <c:v>500</c:v>
                </c:pt>
                <c:pt idx="70">
                  <c:v>500</c:v>
                </c:pt>
                <c:pt idx="71">
                  <c:v>300</c:v>
                </c:pt>
                <c:pt idx="72">
                  <c:v>300</c:v>
                </c:pt>
                <c:pt idx="73">
                  <c:v>300</c:v>
                </c:pt>
                <c:pt idx="74">
                  <c:v>200</c:v>
                </c:pt>
                <c:pt idx="75">
                  <c:v>250</c:v>
                </c:pt>
                <c:pt idx="76">
                  <c:v>300</c:v>
                </c:pt>
                <c:pt idx="77">
                  <c:v>200</c:v>
                </c:pt>
                <c:pt idx="78">
                  <c:v>300</c:v>
                </c:pt>
                <c:pt idx="79">
                  <c:v>300</c:v>
                </c:pt>
                <c:pt idx="80">
                  <c:v>200</c:v>
                </c:pt>
                <c:pt idx="81">
                  <c:v>200</c:v>
                </c:pt>
                <c:pt idx="82">
                  <c:v>300</c:v>
                </c:pt>
                <c:pt idx="83">
                  <c:v>200</c:v>
                </c:pt>
                <c:pt idx="84">
                  <c:v>500</c:v>
                </c:pt>
                <c:pt idx="85">
                  <c:v>500</c:v>
                </c:pt>
                <c:pt idx="86">
                  <c:v>100</c:v>
                </c:pt>
                <c:pt idx="87">
                  <c:v>100</c:v>
                </c:pt>
                <c:pt idx="88">
                  <c:v>100</c:v>
                </c:pt>
                <c:pt idx="89">
                  <c:v>200</c:v>
                </c:pt>
                <c:pt idx="90">
                  <c:v>200</c:v>
                </c:pt>
                <c:pt idx="91">
                  <c:v>200</c:v>
                </c:pt>
                <c:pt idx="92">
                  <c:v>100</c:v>
                </c:pt>
                <c:pt idx="93">
                  <c:v>500</c:v>
                </c:pt>
                <c:pt idx="94">
                  <c:v>200</c:v>
                </c:pt>
                <c:pt idx="95">
                  <c:v>500</c:v>
                </c:pt>
                <c:pt idx="96">
                  <c:v>50</c:v>
                </c:pt>
                <c:pt idx="97">
                  <c:v>10</c:v>
                </c:pt>
                <c:pt idx="98">
                  <c:v>50</c:v>
                </c:pt>
                <c:pt idx="99">
                  <c:v>100</c:v>
                </c:pt>
                <c:pt idx="100">
                  <c:v>200</c:v>
                </c:pt>
                <c:pt idx="101">
                  <c:v>100</c:v>
                </c:pt>
                <c:pt idx="102">
                  <c:v>200</c:v>
                </c:pt>
                <c:pt idx="103">
                  <c:v>100</c:v>
                </c:pt>
                <c:pt idx="104">
                  <c:v>200</c:v>
                </c:pt>
                <c:pt idx="105">
                  <c:v>200</c:v>
                </c:pt>
                <c:pt idx="106">
                  <c:v>200</c:v>
                </c:pt>
                <c:pt idx="107">
                  <c:v>200</c:v>
                </c:pt>
                <c:pt idx="108">
                  <c:v>200</c:v>
                </c:pt>
                <c:pt idx="109">
                  <c:v>50</c:v>
                </c:pt>
                <c:pt idx="110">
                  <c:v>100</c:v>
                </c:pt>
                <c:pt idx="111">
                  <c:v>80</c:v>
                </c:pt>
                <c:pt idx="112">
                  <c:v>60</c:v>
                </c:pt>
                <c:pt idx="113">
                  <c:v>100</c:v>
                </c:pt>
                <c:pt idx="114">
                  <c:v>20</c:v>
                </c:pt>
              </c:numCache>
            </c:numRef>
          </c:val>
          <c:extLst>
            <c:ext xmlns:c16="http://schemas.microsoft.com/office/drawing/2014/chart" uri="{C3380CC4-5D6E-409C-BE32-E72D297353CC}">
              <c16:uniqueId val="{00000000-761F-4E30-8216-6570BC5271A7}"/>
            </c:ext>
          </c:extLst>
        </c:ser>
        <c:ser>
          <c:idx val="1"/>
          <c:order val="1"/>
          <c:tx>
            <c:strRef>
              <c:f>'AVERAGE CONSUMPTION'!$C$6:$C$7</c:f>
              <c:strCache>
                <c:ptCount val="1"/>
                <c:pt idx="0">
                  <c:v>Receipt</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delete val="1"/>
          </c:dLbls>
          <c:cat>
            <c:multiLvlStrRef>
              <c:f>'AVERAGE CONSUMPTION'!$A$8:$A$138</c:f>
              <c:multiLvlStrCache>
                <c:ptCount val="115"/>
                <c:lvl>
                  <c:pt idx="0">
                    <c:v>CITY CENTRE</c:v>
                  </c:pt>
                  <c:pt idx="1">
                    <c:v>UKUNDA</c:v>
                  </c:pt>
                  <c:pt idx="2">
                    <c:v>MACHAKOS</c:v>
                  </c:pt>
                  <c:pt idx="3">
                    <c:v>HILL BRANCH</c:v>
                  </c:pt>
                  <c:pt idx="4">
                    <c:v>MOMBASA</c:v>
                  </c:pt>
                  <c:pt idx="5">
                    <c:v>KAKAMEGA</c:v>
                  </c:pt>
                  <c:pt idx="6">
                    <c:v>KIAMBU</c:v>
                  </c:pt>
                  <c:pt idx="7">
                    <c:v>ELDORET</c:v>
                  </c:pt>
                  <c:pt idx="8">
                    <c:v>MTWAPA</c:v>
                  </c:pt>
                  <c:pt idx="9">
                    <c:v>KITENGELA</c:v>
                  </c:pt>
                  <c:pt idx="10">
                    <c:v>REGISTRATION &amp; COMPLIANCE</c:v>
                  </c:pt>
                  <c:pt idx="11">
                    <c:v>INDUSTRIAL AREA</c:v>
                  </c:pt>
                  <c:pt idx="12">
                    <c:v>DONHOLM</c:v>
                  </c:pt>
                  <c:pt idx="13">
                    <c:v>NAKURU</c:v>
                  </c:pt>
                  <c:pt idx="14">
                    <c:v>KITUI</c:v>
                  </c:pt>
                  <c:pt idx="15">
                    <c:v>THIKA</c:v>
                  </c:pt>
                  <c:pt idx="16">
                    <c:v>CITY CENTRE</c:v>
                  </c:pt>
                  <c:pt idx="17">
                    <c:v>MACHAKOS</c:v>
                  </c:pt>
                  <c:pt idx="18">
                    <c:v>HILL BRANCH</c:v>
                  </c:pt>
                  <c:pt idx="19">
                    <c:v>MOMBASA</c:v>
                  </c:pt>
                  <c:pt idx="20">
                    <c:v>KIAMBU</c:v>
                  </c:pt>
                  <c:pt idx="21">
                    <c:v>ELDORET</c:v>
                  </c:pt>
                  <c:pt idx="22">
                    <c:v>MTWAPA</c:v>
                  </c:pt>
                  <c:pt idx="23">
                    <c:v>KITENGELA</c:v>
                  </c:pt>
                  <c:pt idx="24">
                    <c:v>INDUSTRIAL AREA</c:v>
                  </c:pt>
                  <c:pt idx="25">
                    <c:v>DONHOLM</c:v>
                  </c:pt>
                  <c:pt idx="26">
                    <c:v>NAKURU</c:v>
                  </c:pt>
                  <c:pt idx="27">
                    <c:v>KAKAMEGA</c:v>
                  </c:pt>
                  <c:pt idx="28">
                    <c:v>CITY CENTRE</c:v>
                  </c:pt>
                  <c:pt idx="29">
                    <c:v>MOMBASA</c:v>
                  </c:pt>
                  <c:pt idx="30">
                    <c:v>KAKAMEGA</c:v>
                  </c:pt>
                  <c:pt idx="31">
                    <c:v>KIAMBU</c:v>
                  </c:pt>
                  <c:pt idx="32">
                    <c:v>ELDORET</c:v>
                  </c:pt>
                  <c:pt idx="33">
                    <c:v>MTWAPA</c:v>
                  </c:pt>
                  <c:pt idx="34">
                    <c:v>HOMABAY</c:v>
                  </c:pt>
                  <c:pt idx="35">
                    <c:v>KITENGELA</c:v>
                  </c:pt>
                  <c:pt idx="36">
                    <c:v>WESTLANDS</c:v>
                  </c:pt>
                  <c:pt idx="37">
                    <c:v>THIKA</c:v>
                  </c:pt>
                  <c:pt idx="38">
                    <c:v>CITY CENTRE</c:v>
                  </c:pt>
                  <c:pt idx="39">
                    <c:v>UKUNDA</c:v>
                  </c:pt>
                  <c:pt idx="40">
                    <c:v>KAKAMEGA</c:v>
                  </c:pt>
                  <c:pt idx="41">
                    <c:v>KIAMBU</c:v>
                  </c:pt>
                  <c:pt idx="42">
                    <c:v>KITENGELA</c:v>
                  </c:pt>
                  <c:pt idx="43">
                    <c:v>WESTLANDS</c:v>
                  </c:pt>
                  <c:pt idx="44">
                    <c:v>THIKA</c:v>
                  </c:pt>
                  <c:pt idx="45">
                    <c:v>MACHAKOS</c:v>
                  </c:pt>
                  <c:pt idx="46">
                    <c:v>HILL BRANCH</c:v>
                  </c:pt>
                  <c:pt idx="47">
                    <c:v>MOMBASA</c:v>
                  </c:pt>
                  <c:pt idx="48">
                    <c:v>KAKAMEGA</c:v>
                  </c:pt>
                  <c:pt idx="49">
                    <c:v>KIAMBU</c:v>
                  </c:pt>
                  <c:pt idx="50">
                    <c:v>EASTLEIGH</c:v>
                  </c:pt>
                  <c:pt idx="51">
                    <c:v>MTWAPA</c:v>
                  </c:pt>
                  <c:pt idx="52">
                    <c:v>HOMABAY</c:v>
                  </c:pt>
                  <c:pt idx="53">
                    <c:v>KITENGELA</c:v>
                  </c:pt>
                  <c:pt idx="54">
                    <c:v>INDUSTRIAL AREA</c:v>
                  </c:pt>
                  <c:pt idx="55">
                    <c:v>NAKURU</c:v>
                  </c:pt>
                  <c:pt idx="56">
                    <c:v>WESTLANDS</c:v>
                  </c:pt>
                  <c:pt idx="57">
                    <c:v>THIKA</c:v>
                  </c:pt>
                  <c:pt idx="58">
                    <c:v>UKUNDA</c:v>
                  </c:pt>
                  <c:pt idx="59">
                    <c:v>MACHAKOS</c:v>
                  </c:pt>
                  <c:pt idx="60">
                    <c:v>HILL BRANCH</c:v>
                  </c:pt>
                  <c:pt idx="61">
                    <c:v>KAKAMEGA</c:v>
                  </c:pt>
                  <c:pt idx="62">
                    <c:v>KIAMBU</c:v>
                  </c:pt>
                  <c:pt idx="63">
                    <c:v>ELDORET</c:v>
                  </c:pt>
                  <c:pt idx="64">
                    <c:v>EASTLEIGH</c:v>
                  </c:pt>
                  <c:pt idx="65">
                    <c:v>MTWAPA</c:v>
                  </c:pt>
                  <c:pt idx="66">
                    <c:v>HOMABAY</c:v>
                  </c:pt>
                  <c:pt idx="67">
                    <c:v>KITENGELA</c:v>
                  </c:pt>
                  <c:pt idx="68">
                    <c:v>INDUSTRIAL AREA</c:v>
                  </c:pt>
                  <c:pt idx="69">
                    <c:v>DONHOLM</c:v>
                  </c:pt>
                  <c:pt idx="70">
                    <c:v>NAKURU</c:v>
                  </c:pt>
                  <c:pt idx="71">
                    <c:v>WESTLANDS</c:v>
                  </c:pt>
                  <c:pt idx="72">
                    <c:v>THIKA</c:v>
                  </c:pt>
                  <c:pt idx="73">
                    <c:v>CITY CENTRE</c:v>
                  </c:pt>
                  <c:pt idx="74">
                    <c:v>UKUNDA</c:v>
                  </c:pt>
                  <c:pt idx="75">
                    <c:v>KIAMBU</c:v>
                  </c:pt>
                  <c:pt idx="76">
                    <c:v>ELDORET</c:v>
                  </c:pt>
                  <c:pt idx="77">
                    <c:v>EASTLEIGH</c:v>
                  </c:pt>
                  <c:pt idx="78">
                    <c:v>HOMABAY</c:v>
                  </c:pt>
                  <c:pt idx="79">
                    <c:v>NAKURU</c:v>
                  </c:pt>
                  <c:pt idx="80">
                    <c:v>FINANCE</c:v>
                  </c:pt>
                  <c:pt idx="81">
                    <c:v>INVESTMENTS</c:v>
                  </c:pt>
                  <c:pt idx="82">
                    <c:v>STRATEGY &amp; CHANGE</c:v>
                  </c:pt>
                  <c:pt idx="83">
                    <c:v>REGISTRATION &amp; COMPLIANCE</c:v>
                  </c:pt>
                  <c:pt idx="84">
                    <c:v>GM HR/ADM</c:v>
                  </c:pt>
                  <c:pt idx="85">
                    <c:v>HR TALENT ACQUISITION</c:v>
                  </c:pt>
                  <c:pt idx="86">
                    <c:v>PROPERTY DEVELOPMENT</c:v>
                  </c:pt>
                  <c:pt idx="87">
                    <c:v>ETHICS &amp; INTEGRITY</c:v>
                  </c:pt>
                  <c:pt idx="88">
                    <c:v>MEMBER RECORDS</c:v>
                  </c:pt>
                  <c:pt idx="89">
                    <c:v>RISK MANAGEMENT</c:v>
                  </c:pt>
                  <c:pt idx="90">
                    <c:v>FINANCE</c:v>
                  </c:pt>
                  <c:pt idx="91">
                    <c:v>INVESTMENTS</c:v>
                  </c:pt>
                  <c:pt idx="92">
                    <c:v>REGISTRATION &amp; COMPLIANCE</c:v>
                  </c:pt>
                  <c:pt idx="93">
                    <c:v>GM HR/ADM</c:v>
                  </c:pt>
                  <c:pt idx="94">
                    <c:v>HUMAN CAPITAL/HR</c:v>
                  </c:pt>
                  <c:pt idx="95">
                    <c:v>HR TALENT ACQUISITION</c:v>
                  </c:pt>
                  <c:pt idx="96">
                    <c:v>ETHICS &amp; INTEGRITY</c:v>
                  </c:pt>
                  <c:pt idx="97">
                    <c:v>PROPERTY MANAGEMENT</c:v>
                  </c:pt>
                  <c:pt idx="98">
                    <c:v>ADMINISTRATION</c:v>
                  </c:pt>
                  <c:pt idx="99">
                    <c:v>MEMBER RECORDS</c:v>
                  </c:pt>
                  <c:pt idx="100">
                    <c:v>THIKA</c:v>
                  </c:pt>
                  <c:pt idx="101">
                    <c:v>MACHAKOS</c:v>
                  </c:pt>
                  <c:pt idx="102">
                    <c:v>MOMBASA</c:v>
                  </c:pt>
                  <c:pt idx="103">
                    <c:v>KAKAMEGA</c:v>
                  </c:pt>
                  <c:pt idx="104">
                    <c:v>ELDORET</c:v>
                  </c:pt>
                  <c:pt idx="105">
                    <c:v>EASTLEIGH</c:v>
                  </c:pt>
                  <c:pt idx="106">
                    <c:v>MTWAPA</c:v>
                  </c:pt>
                  <c:pt idx="107">
                    <c:v>HOMABAY</c:v>
                  </c:pt>
                  <c:pt idx="108">
                    <c:v>REGISTRATION &amp; COMPLIANCE</c:v>
                  </c:pt>
                  <c:pt idx="109">
                    <c:v>PROPERTY MANAGEMENT</c:v>
                  </c:pt>
                  <c:pt idx="110">
                    <c:v>MOMBASA</c:v>
                  </c:pt>
                  <c:pt idx="111">
                    <c:v>MTWAPA</c:v>
                  </c:pt>
                  <c:pt idx="112">
                    <c:v>HUMAN CAPITAL/HR</c:v>
                  </c:pt>
                  <c:pt idx="113">
                    <c:v>HOMABAY</c:v>
                  </c:pt>
                  <c:pt idx="114">
                    <c:v>NAKURU</c:v>
                  </c:pt>
                </c:lvl>
                <c:lvl>
                  <c:pt idx="0">
                    <c:v>Membership Cards (Blank)</c:v>
                  </c:pt>
                  <c:pt idx="15">
                    <c:v>Laminating Pouches</c:v>
                  </c:pt>
                  <c:pt idx="27">
                    <c:v>Schedule of Contribution</c:v>
                  </c:pt>
                  <c:pt idx="28">
                    <c:v>Fingerprint Forms SF/003</c:v>
                  </c:pt>
                  <c:pt idx="36">
                    <c:v>App. For Employer SF/001</c:v>
                  </c:pt>
                  <c:pt idx="43">
                    <c:v>Payment of Benefit Forms/004</c:v>
                  </c:pt>
                  <c:pt idx="56">
                    <c:v>Ben. App. Forms SF/001</c:v>
                  </c:pt>
                  <c:pt idx="71">
                    <c:v>Registration Gen. Folders</c:v>
                  </c:pt>
                  <c:pt idx="80">
                    <c:v>Envelopes A4</c:v>
                  </c:pt>
                  <c:pt idx="90">
                    <c:v>Envelopes A5</c:v>
                  </c:pt>
                  <c:pt idx="100">
                    <c:v>Survivor Ben. Form</c:v>
                  </c:pt>
                  <c:pt idx="108">
                    <c:v>Envelopes A3 (16*12) White</c:v>
                  </c:pt>
                  <c:pt idx="110">
                    <c:v>Funeral Grant Forms 006</c:v>
                  </c:pt>
                  <c:pt idx="112">
                    <c:v>Finance Account Folders</c:v>
                  </c:pt>
                  <c:pt idx="113">
                    <c:v>Emigration Benefit Folders</c:v>
                  </c:pt>
                </c:lvl>
              </c:multiLvlStrCache>
            </c:multiLvlStrRef>
          </c:cat>
          <c:val>
            <c:numRef>
              <c:f>'AVERAGE CONSUMPTION'!$C$8:$C$138</c:f>
              <c:numCache>
                <c:formatCode>General</c:formatCode>
                <c:ptCount val="115"/>
                <c:pt idx="11">
                  <c:v>1000</c:v>
                </c:pt>
                <c:pt idx="24">
                  <c:v>2000</c:v>
                </c:pt>
                <c:pt idx="54">
                  <c:v>500</c:v>
                </c:pt>
              </c:numCache>
            </c:numRef>
          </c:val>
          <c:extLst>
            <c:ext xmlns:c16="http://schemas.microsoft.com/office/drawing/2014/chart" uri="{C3380CC4-5D6E-409C-BE32-E72D297353CC}">
              <c16:uniqueId val="{00000001-4337-4DAC-BA3F-2363AEA73DFA}"/>
            </c:ext>
          </c:extLst>
        </c:ser>
        <c:dLbls>
          <c:dLblPos val="inEnd"/>
          <c:showLegendKey val="0"/>
          <c:showVal val="1"/>
          <c:showCatName val="0"/>
          <c:showSerName val="0"/>
          <c:showPercent val="0"/>
          <c:showBubbleSize val="0"/>
        </c:dLbls>
        <c:gapWidth val="0"/>
        <c:axId val="508482056"/>
        <c:axId val="508484576"/>
      </c:barChart>
      <c:catAx>
        <c:axId val="508482056"/>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484576"/>
        <c:crosses val="autoZero"/>
        <c:auto val="1"/>
        <c:lblAlgn val="ctr"/>
        <c:lblOffset val="100"/>
        <c:noMultiLvlLbl val="0"/>
      </c:catAx>
      <c:valAx>
        <c:axId val="508484576"/>
        <c:scaling>
          <c:orientation val="minMax"/>
        </c:scaling>
        <c:delete val="1"/>
        <c:axPos val="t"/>
        <c:numFmt formatCode="General" sourceLinked="1"/>
        <c:majorTickMark val="none"/>
        <c:minorTickMark val="none"/>
        <c:tickLblPos val="nextTo"/>
        <c:crossAx val="50848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[Official Master Stock Control Sheet SF-Computer &amp; Maintenance Stores REVISING.xlsx]MIN CONSUMPTION!PivotTable1</c:name>
    <c:fmtId val="11"/>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MINIMUM CONSUMPTION</a:t>
            </a:r>
          </a:p>
        </c:rich>
      </c:tx>
      <c:layout/>
      <c:overlay val="0"/>
      <c:spPr>
        <a:gradFill>
          <a:gsLst>
            <a:gs pos="45000">
              <a:schemeClr val="accent4">
                <a:lumMod val="0"/>
                <a:lumOff val="100000"/>
              </a:schemeClr>
            </a:gs>
            <a:gs pos="38080">
              <a:srgbClr val="FFFFFF"/>
            </a:gs>
            <a:gs pos="23000">
              <a:schemeClr val="accent4">
                <a:lumMod val="0"/>
                <a:lumOff val="100000"/>
              </a:schemeClr>
            </a:gs>
            <a:gs pos="100000">
              <a:schemeClr val="accent4">
                <a:lumMod val="100000"/>
              </a:schemeClr>
            </a:gs>
          </a:gsLst>
          <a:path path="circle">
            <a:fillToRect l="50000" t="-80000" r="50000" b="180000"/>
          </a:path>
        </a:gra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1"/>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'MIN CONSUMPTION'!$B$6</c:f>
              <c:strCache>
                <c:ptCount val="1"/>
                <c:pt idx="0">
                  <c:v>Min of In&amp;Out Qty</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'MIN CONSUMPTION'!$A$7:$A$17</c:f>
              <c:strCache>
                <c:ptCount val="10"/>
                <c:pt idx="0">
                  <c:v>Schedule of Contribution</c:v>
                </c:pt>
                <c:pt idx="1">
                  <c:v>Membership Cards (Blank)</c:v>
                </c:pt>
                <c:pt idx="2">
                  <c:v>Fingerprint Forms SF/003</c:v>
                </c:pt>
                <c:pt idx="3">
                  <c:v>App. For Employer SF/001</c:v>
                </c:pt>
                <c:pt idx="4">
                  <c:v>Registration Gen. Folders</c:v>
                </c:pt>
                <c:pt idx="5">
                  <c:v>Ben. App. Forms SF/001</c:v>
                </c:pt>
                <c:pt idx="6">
                  <c:v>Payment of Benefit Forms/004</c:v>
                </c:pt>
                <c:pt idx="7">
                  <c:v>Survivor Ben. Form</c:v>
                </c:pt>
                <c:pt idx="8">
                  <c:v>Laminating Pouches</c:v>
                </c:pt>
                <c:pt idx="9">
                  <c:v>Envelopes A4</c:v>
                </c:pt>
              </c:strCache>
            </c:strRef>
          </c:cat>
          <c:val>
            <c:numRef>
              <c:f>'MIN CONSUMPTION'!$B$7:$B$17</c:f>
              <c:numCache>
                <c:formatCode>General</c:formatCode>
                <c:ptCount val="10"/>
                <c:pt idx="0">
                  <c:v>1000</c:v>
                </c:pt>
                <c:pt idx="1">
                  <c:v>1000</c:v>
                </c:pt>
                <c:pt idx="2">
                  <c:v>500</c:v>
                </c:pt>
                <c:pt idx="3">
                  <c:v>500</c:v>
                </c:pt>
                <c:pt idx="4">
                  <c:v>200</c:v>
                </c:pt>
                <c:pt idx="5">
                  <c:v>150</c:v>
                </c:pt>
                <c:pt idx="6">
                  <c:v>100</c:v>
                </c:pt>
                <c:pt idx="7">
                  <c:v>100</c:v>
                </c:pt>
                <c:pt idx="8">
                  <c:v>100</c:v>
                </c:pt>
                <c:pt idx="9">
                  <c:v>100</c:v>
                </c:pt>
              </c:numCache>
            </c:numRef>
          </c:val>
          <c:extLst>
            <c:ext xmlns:c16="http://schemas.microsoft.com/office/drawing/2014/chart" uri="{C3380CC4-5D6E-409C-BE32-E72D297353CC}">
              <c16:uniqueId val="{00000000-F67A-4401-A494-7C591778E314}"/>
            </c:ext>
          </c:extLst>
        </c:ser>
        <c:ser>
          <c:idx val="1"/>
          <c:order val="1"/>
          <c:tx>
            <c:strRef>
              <c:f>'MIN CONSUMPTION'!$C$6</c:f>
              <c:strCache>
                <c:ptCount val="1"/>
                <c:pt idx="0">
                  <c:v>Min of In&amp;Out Qty(%)</c:v>
                </c:pt>
              </c:strCache>
            </c:strRef>
          </c:tx>
          <c:spPr>
            <a:gradFill rotWithShape="1">
              <a:gsLst>
                <a:gs pos="0">
                  <a:schemeClr val="accent2">
                    <a:tint val="60000"/>
                    <a:satMod val="160000"/>
                  </a:schemeClr>
                </a:gs>
                <a:gs pos="46000">
                  <a:schemeClr val="accent2">
                    <a:tint val="86000"/>
                    <a:satMod val="160000"/>
                  </a:schemeClr>
                </a:gs>
                <a:gs pos="100000">
                  <a:schemeClr val="accent2">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strRef>
              <c:f>'MIN CONSUMPTION'!$A$7:$A$17</c:f>
              <c:strCache>
                <c:ptCount val="10"/>
                <c:pt idx="0">
                  <c:v>Schedule of Contribution</c:v>
                </c:pt>
                <c:pt idx="1">
                  <c:v>Membership Cards (Blank)</c:v>
                </c:pt>
                <c:pt idx="2">
                  <c:v>Fingerprint Forms SF/003</c:v>
                </c:pt>
                <c:pt idx="3">
                  <c:v>App. For Employer SF/001</c:v>
                </c:pt>
                <c:pt idx="4">
                  <c:v>Registration Gen. Folders</c:v>
                </c:pt>
                <c:pt idx="5">
                  <c:v>Ben. App. Forms SF/001</c:v>
                </c:pt>
                <c:pt idx="6">
                  <c:v>Payment of Benefit Forms/004</c:v>
                </c:pt>
                <c:pt idx="7">
                  <c:v>Survivor Ben. Form</c:v>
                </c:pt>
                <c:pt idx="8">
                  <c:v>Laminating Pouches</c:v>
                </c:pt>
                <c:pt idx="9">
                  <c:v>Envelopes A4</c:v>
                </c:pt>
              </c:strCache>
            </c:strRef>
          </c:cat>
          <c:val>
            <c:numRef>
              <c:f>'MIN CONSUMPTION'!$C$7:$C$17</c:f>
              <c:numCache>
                <c:formatCode>0.00%</c:formatCode>
                <c:ptCount val="10"/>
                <c:pt idx="0">
                  <c:v>10</c:v>
                </c:pt>
                <c:pt idx="1">
                  <c:v>10</c:v>
                </c:pt>
                <c:pt idx="2">
                  <c:v>5</c:v>
                </c:pt>
                <c:pt idx="3">
                  <c:v>5</c:v>
                </c:pt>
                <c:pt idx="4">
                  <c:v>2</c:v>
                </c:pt>
                <c:pt idx="5">
                  <c:v>1.5</c:v>
                </c:pt>
                <c:pt idx="6">
                  <c:v>1</c:v>
                </c:pt>
                <c:pt idx="7">
                  <c:v>1</c:v>
                </c:pt>
                <c:pt idx="8">
                  <c:v>1</c:v>
                </c:pt>
                <c:pt idx="9">
                  <c:v>1</c:v>
                </c:pt>
              </c:numCache>
            </c:numRef>
          </c:val>
          <c:extLst>
            <c:ext xmlns:c16="http://schemas.microsoft.com/office/drawing/2014/chart" uri="{C3380CC4-5D6E-409C-BE32-E72D297353CC}">
              <c16:uniqueId val="{00000001-F67A-4401-A494-7C591778E314}"/>
            </c:ext>
          </c:extLst>
        </c:ser>
        <c:dLbls>
          <c:dLblPos val="outEnd"/>
          <c:showLegendKey val="0"/>
          <c:showVal val="1"/>
          <c:showCatName val="0"/>
          <c:showSerName val="0"/>
          <c:showPercent val="0"/>
          <c:showBubbleSize val="0"/>
        </c:dLbls>
        <c:gapWidth val="0"/>
        <c:overlap val="-20"/>
        <c:axId val="508482056"/>
        <c:axId val="508484576"/>
      </c:barChart>
      <c:catAx>
        <c:axId val="508482056"/>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484576"/>
        <c:crosses val="autoZero"/>
        <c:auto val="1"/>
        <c:lblAlgn val="ctr"/>
        <c:lblOffset val="100"/>
        <c:noMultiLvlLbl val="0"/>
      </c:catAx>
      <c:valAx>
        <c:axId val="508484576"/>
        <c:scaling>
          <c:orientation val="minMax"/>
        </c:scaling>
        <c:delete val="1"/>
        <c:axPos val="t"/>
        <c:numFmt formatCode="General" sourceLinked="1"/>
        <c:majorTickMark val="none"/>
        <c:minorTickMark val="none"/>
        <c:tickLblPos val="nextTo"/>
        <c:crossAx val="50848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[Official Master Stock Control Sheet SF-Computer &amp; Maintenance Stores REVISING.xlsx]MAX CONSUMPTION!PivotTable1</c:name>
    <c:fmtId val="10"/>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a:solidFill>
                  <a:schemeClr val="tx1"/>
                </a:solidFill>
              </a:rPr>
              <a:t>MAXIMUM CONSUMPTION</a:t>
            </a:r>
          </a:p>
        </c:rich>
      </c:tx>
      <c:layout/>
      <c:overlay val="0"/>
      <c:spPr>
        <a:gradFill>
          <a:gsLst>
            <a:gs pos="45000">
              <a:schemeClr val="accent4">
                <a:lumMod val="0"/>
                <a:lumOff val="100000"/>
              </a:schemeClr>
            </a:gs>
            <a:gs pos="38080">
              <a:srgbClr val="FFFFFF"/>
            </a:gs>
            <a:gs pos="23000">
              <a:schemeClr val="accent4">
                <a:lumMod val="0"/>
                <a:lumOff val="100000"/>
              </a:schemeClr>
            </a:gs>
            <a:gs pos="100000">
              <a:schemeClr val="accent4">
                <a:lumMod val="100000"/>
              </a:schemeClr>
            </a:gs>
          </a:gsLst>
          <a:path path="circle">
            <a:fillToRect l="50000" t="-80000" r="50000" b="180000"/>
          </a:path>
        </a:grad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2"/>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3"/>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4"/>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
        <c:idx val="10"/>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'MAX CONSUMPTION'!$B$6</c:f>
              <c:strCache>
                <c:ptCount val="1"/>
                <c:pt idx="0">
                  <c:v>Total</c:v>
                </c:pt>
              </c:strCache>
            </c:strRef>
          </c:tx>
          <c:spPr>
            <a:gradFill rotWithShape="1">
              <a:gsLst>
                <a:gs pos="0">
                  <a:schemeClr val="accent1">
                    <a:tint val="60000"/>
                    <a:satMod val="160000"/>
                  </a:schemeClr>
                </a:gs>
                <a:gs pos="46000">
                  <a:schemeClr val="accent1">
                    <a:tint val="86000"/>
                    <a:satMod val="160000"/>
                  </a:schemeClr>
                </a:gs>
                <a:gs pos="100000">
                  <a:schemeClr val="accent1">
                    <a:shade val="40000"/>
                    <a:satMod val="160000"/>
                  </a:schemeClr>
                </a:gs>
              </a:gsLst>
              <a:path path="circle">
                <a:fillToRect l="50000" t="155000" r="50000" b="-55000"/>
              </a:path>
            </a:gradFill>
            <a:ln>
              <a:noFill/>
            </a:ln>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a:solidFill>
                        <a:schemeClr val="lt1">
                          <a:lumMod val="95000"/>
                          <a:alpha val="54000"/>
                        </a:schemeClr>
                      </a:solidFill>
                    </a:ln>
                    <a:effectLst/>
                  </c:spPr>
                </c15:leaderLines>
              </c:ext>
            </c:extLst>
          </c:dLbls>
          <c:cat>
            <c:multiLvlStrRef>
              <c:f>'MAX CONSUMPTION'!$A$7:$A$222</c:f>
              <c:multiLvlStrCache>
                <c:ptCount val="105"/>
                <c:lvl>
                  <c:pt idx="0">
                    <c:v>08/07/2025</c:v>
                  </c:pt>
                  <c:pt idx="1">
                    <c:v>17/07/2025</c:v>
                  </c:pt>
                  <c:pt idx="2">
                    <c:v>17/07/2025</c:v>
                  </c:pt>
                  <c:pt idx="3">
                    <c:v>21/07/2025</c:v>
                  </c:pt>
                  <c:pt idx="4">
                    <c:v>22/07/2025</c:v>
                  </c:pt>
                  <c:pt idx="5">
                    <c:v>04/07/2025</c:v>
                  </c:pt>
                  <c:pt idx="6">
                    <c:v>18/07/2025</c:v>
                  </c:pt>
                  <c:pt idx="7">
                    <c:v>04/07/2025</c:v>
                  </c:pt>
                  <c:pt idx="8">
                    <c:v>09/07/2025</c:v>
                  </c:pt>
                  <c:pt idx="9">
                    <c:v>04/07/2025</c:v>
                  </c:pt>
                  <c:pt idx="10">
                    <c:v>09/07/2025</c:v>
                  </c:pt>
                  <c:pt idx="11">
                    <c:v>11/07/2025</c:v>
                  </c:pt>
                  <c:pt idx="12">
                    <c:v>15/07/2025</c:v>
                  </c:pt>
                  <c:pt idx="13">
                    <c:v>24/07/2025</c:v>
                  </c:pt>
                  <c:pt idx="14">
                    <c:v>22/07/2025</c:v>
                  </c:pt>
                  <c:pt idx="15">
                    <c:v>22/07/2025</c:v>
                  </c:pt>
                  <c:pt idx="16">
                    <c:v>23/07/2025</c:v>
                  </c:pt>
                  <c:pt idx="17">
                    <c:v>14/07/2025</c:v>
                  </c:pt>
                  <c:pt idx="18">
                    <c:v>08/07/2025</c:v>
                  </c:pt>
                  <c:pt idx="19">
                    <c:v>17/07/2025</c:v>
                  </c:pt>
                  <c:pt idx="20">
                    <c:v>21/07/2025</c:v>
                  </c:pt>
                  <c:pt idx="21">
                    <c:v>22/07/2025</c:v>
                  </c:pt>
                  <c:pt idx="22">
                    <c:v>04/07/2025</c:v>
                  </c:pt>
                  <c:pt idx="23">
                    <c:v>04/07/2025</c:v>
                  </c:pt>
                  <c:pt idx="24">
                    <c:v>04/07/2025</c:v>
                  </c:pt>
                  <c:pt idx="25">
                    <c:v>09/07/2025</c:v>
                  </c:pt>
                  <c:pt idx="26">
                    <c:v>11/07/2025</c:v>
                  </c:pt>
                  <c:pt idx="27">
                    <c:v>24/07/2025</c:v>
                  </c:pt>
                  <c:pt idx="28">
                    <c:v>22/07/2025</c:v>
                  </c:pt>
                  <c:pt idx="29">
                    <c:v>23/07/2025</c:v>
                  </c:pt>
                  <c:pt idx="30">
                    <c:v>04/07/2025</c:v>
                  </c:pt>
                  <c:pt idx="31">
                    <c:v>11/07/2025</c:v>
                  </c:pt>
                  <c:pt idx="32">
                    <c:v>17/07/2025</c:v>
                  </c:pt>
                  <c:pt idx="33">
                    <c:v>15/07/2025</c:v>
                  </c:pt>
                  <c:pt idx="34">
                    <c:v>15/07/2025</c:v>
                  </c:pt>
                  <c:pt idx="35">
                    <c:v>15/07/2025</c:v>
                  </c:pt>
                  <c:pt idx="36">
                    <c:v>15/07/2025</c:v>
                  </c:pt>
                  <c:pt idx="37">
                    <c:v>16/07/2025</c:v>
                  </c:pt>
                  <c:pt idx="38">
                    <c:v>16/07/2025</c:v>
                  </c:pt>
                  <c:pt idx="39">
                    <c:v>22/07/2025</c:v>
                  </c:pt>
                  <c:pt idx="40">
                    <c:v>23/07/2025</c:v>
                  </c:pt>
                  <c:pt idx="41">
                    <c:v>22/07/2025</c:v>
                  </c:pt>
                  <c:pt idx="42">
                    <c:v>14/07/2025</c:v>
                  </c:pt>
                  <c:pt idx="43">
                    <c:v>17/07/2025</c:v>
                  </c:pt>
                  <c:pt idx="44">
                    <c:v>21/07/2025</c:v>
                  </c:pt>
                  <c:pt idx="45">
                    <c:v>22/07/2025</c:v>
                  </c:pt>
                  <c:pt idx="46">
                    <c:v>04/07/2025</c:v>
                  </c:pt>
                  <c:pt idx="47">
                    <c:v>21/07/2025</c:v>
                  </c:pt>
                  <c:pt idx="48">
                    <c:v>04/07/2025</c:v>
                  </c:pt>
                  <c:pt idx="49">
                    <c:v>18/07/2025</c:v>
                  </c:pt>
                  <c:pt idx="50">
                    <c:v>09/07/2025</c:v>
                  </c:pt>
                  <c:pt idx="51">
                    <c:v>11/07/2025</c:v>
                  </c:pt>
                  <c:pt idx="52">
                    <c:v>11/07/2025</c:v>
                  </c:pt>
                  <c:pt idx="53">
                    <c:v>21/07/2025</c:v>
                  </c:pt>
                  <c:pt idx="54">
                    <c:v>22/07/2025</c:v>
                  </c:pt>
                  <c:pt idx="55">
                    <c:v>22/07/2025</c:v>
                  </c:pt>
                  <c:pt idx="56">
                    <c:v>22/07/2025</c:v>
                  </c:pt>
                  <c:pt idx="57">
                    <c:v>14/07/2025</c:v>
                  </c:pt>
                  <c:pt idx="58">
                    <c:v>21/07/2025</c:v>
                  </c:pt>
                  <c:pt idx="59">
                    <c:v>22/07/2025</c:v>
                  </c:pt>
                  <c:pt idx="60">
                    <c:v>04/07/2025</c:v>
                  </c:pt>
                  <c:pt idx="61">
                    <c:v>04/07/2025</c:v>
                  </c:pt>
                  <c:pt idx="62">
                    <c:v>04/07/2025</c:v>
                  </c:pt>
                  <c:pt idx="63">
                    <c:v>18/07/2025</c:v>
                  </c:pt>
                  <c:pt idx="64">
                    <c:v>09/07/2025</c:v>
                  </c:pt>
                  <c:pt idx="65">
                    <c:v>11/07/2025</c:v>
                  </c:pt>
                  <c:pt idx="66">
                    <c:v>11/07/2025</c:v>
                  </c:pt>
                  <c:pt idx="67">
                    <c:v>24/07/2025</c:v>
                  </c:pt>
                  <c:pt idx="68">
                    <c:v>22/07/2025</c:v>
                  </c:pt>
                  <c:pt idx="69">
                    <c:v>08/07/2025</c:v>
                  </c:pt>
                  <c:pt idx="70">
                    <c:v>04/07/2025</c:v>
                  </c:pt>
                  <c:pt idx="71">
                    <c:v>04/07/2025</c:v>
                  </c:pt>
                  <c:pt idx="72">
                    <c:v>04/07/2025</c:v>
                  </c:pt>
                  <c:pt idx="73">
                    <c:v>04/07/2025</c:v>
                  </c:pt>
                  <c:pt idx="74">
                    <c:v>09/07/2025</c:v>
                  </c:pt>
                  <c:pt idx="75">
                    <c:v>11/07/2025</c:v>
                  </c:pt>
                  <c:pt idx="76">
                    <c:v>11/07/2025</c:v>
                  </c:pt>
                  <c:pt idx="77">
                    <c:v>22/07/2025</c:v>
                  </c:pt>
                  <c:pt idx="78">
                    <c:v>14/07/2025</c:v>
                  </c:pt>
                  <c:pt idx="79">
                    <c:v>08/07/2025</c:v>
                  </c:pt>
                  <c:pt idx="80">
                    <c:v>17/07/2025</c:v>
                  </c:pt>
                  <c:pt idx="81">
                    <c:v>17/07/2025</c:v>
                  </c:pt>
                  <c:pt idx="82">
                    <c:v>04/07/2025</c:v>
                  </c:pt>
                  <c:pt idx="83">
                    <c:v>04/07/2025</c:v>
                  </c:pt>
                  <c:pt idx="84">
                    <c:v>11/07/2025</c:v>
                  </c:pt>
                  <c:pt idx="85">
                    <c:v>11/07/2025</c:v>
                  </c:pt>
                  <c:pt idx="86">
                    <c:v>17/07/2025</c:v>
                  </c:pt>
                  <c:pt idx="87">
                    <c:v>14/07/2025</c:v>
                  </c:pt>
                  <c:pt idx="88">
                    <c:v>15/07/2025</c:v>
                  </c:pt>
                  <c:pt idx="89">
                    <c:v>15/07/2025</c:v>
                  </c:pt>
                  <c:pt idx="90">
                    <c:v>15/07/2025</c:v>
                  </c:pt>
                  <c:pt idx="91">
                    <c:v>15/07/2025</c:v>
                  </c:pt>
                  <c:pt idx="92">
                    <c:v>16/07/2025</c:v>
                  </c:pt>
                  <c:pt idx="93">
                    <c:v>23/07/2025</c:v>
                  </c:pt>
                  <c:pt idx="94">
                    <c:v>23/07/2025</c:v>
                  </c:pt>
                  <c:pt idx="95">
                    <c:v>22/07/2025</c:v>
                  </c:pt>
                  <c:pt idx="96">
                    <c:v>14/07/2025</c:v>
                  </c:pt>
                  <c:pt idx="97">
                    <c:v>17/07/2025</c:v>
                  </c:pt>
                  <c:pt idx="98">
                    <c:v>17/07/2025</c:v>
                  </c:pt>
                  <c:pt idx="99">
                    <c:v>04/07/2025</c:v>
                  </c:pt>
                  <c:pt idx="100">
                    <c:v>21/07/2025</c:v>
                  </c:pt>
                  <c:pt idx="101">
                    <c:v>04/07/2025</c:v>
                  </c:pt>
                  <c:pt idx="102">
                    <c:v>18/07/2025</c:v>
                  </c:pt>
                  <c:pt idx="103">
                    <c:v>11/07/2025</c:v>
                  </c:pt>
                  <c:pt idx="104">
                    <c:v>22/07/2025</c:v>
                  </c:pt>
                </c:lvl>
                <c:lvl>
                  <c:pt idx="0">
                    <c:v>CITY CENTRE</c:v>
                  </c:pt>
                  <c:pt idx="2">
                    <c:v>UKUNDA</c:v>
                  </c:pt>
                  <c:pt idx="3">
                    <c:v>MACHAKOS</c:v>
                  </c:pt>
                  <c:pt idx="4">
                    <c:v>HILL BRANCH</c:v>
                  </c:pt>
                  <c:pt idx="5">
                    <c:v>MOMBASA</c:v>
                  </c:pt>
                  <c:pt idx="7">
                    <c:v>KAKAMEGA</c:v>
                  </c:pt>
                  <c:pt idx="8">
                    <c:v>KIAMBU</c:v>
                  </c:pt>
                  <c:pt idx="9">
                    <c:v>ELDORET</c:v>
                  </c:pt>
                  <c:pt idx="10">
                    <c:v>MTWAPA</c:v>
                  </c:pt>
                  <c:pt idx="11">
                    <c:v>KITENGELA</c:v>
                  </c:pt>
                  <c:pt idx="12">
                    <c:v>REGISTRATION &amp; COMPLIANCE</c:v>
                  </c:pt>
                  <c:pt idx="13">
                    <c:v>INDUSTRIAL AREA</c:v>
                  </c:pt>
                  <c:pt idx="14">
                    <c:v>DONHOLM</c:v>
                  </c:pt>
                  <c:pt idx="15">
                    <c:v>NAKURU</c:v>
                  </c:pt>
                  <c:pt idx="16">
                    <c:v>KITUI</c:v>
                  </c:pt>
                  <c:pt idx="17">
                    <c:v>THIKA</c:v>
                  </c:pt>
                  <c:pt idx="18">
                    <c:v>CITY CENTRE</c:v>
                  </c:pt>
                  <c:pt idx="20">
                    <c:v>MACHAKOS</c:v>
                  </c:pt>
                  <c:pt idx="21">
                    <c:v>HILL BRANCH</c:v>
                  </c:pt>
                  <c:pt idx="22">
                    <c:v>MOMBASA</c:v>
                  </c:pt>
                  <c:pt idx="23">
                    <c:v>KIAMBU</c:v>
                  </c:pt>
                  <c:pt idx="24">
                    <c:v>ELDORET</c:v>
                  </c:pt>
                  <c:pt idx="25">
                    <c:v>MTWAPA</c:v>
                  </c:pt>
                  <c:pt idx="26">
                    <c:v>KITENGELA</c:v>
                  </c:pt>
                  <c:pt idx="27">
                    <c:v>INDUSTRIAL AREA</c:v>
                  </c:pt>
                  <c:pt idx="28">
                    <c:v>DONHOLM</c:v>
                  </c:pt>
                  <c:pt idx="29">
                    <c:v>NAKURU</c:v>
                  </c:pt>
                  <c:pt idx="30">
                    <c:v>KAKAMEGA</c:v>
                  </c:pt>
                  <c:pt idx="31">
                    <c:v>FINANCE</c:v>
                  </c:pt>
                  <c:pt idx="32">
                    <c:v>INVESTMENTS</c:v>
                  </c:pt>
                  <c:pt idx="33">
                    <c:v>REGISTRATION &amp; COMPLIANCE</c:v>
                  </c:pt>
                  <c:pt idx="34">
                    <c:v>GM HR/ADM</c:v>
                  </c:pt>
                  <c:pt idx="35">
                    <c:v>HUMAN CAPITAL/HR</c:v>
                  </c:pt>
                  <c:pt idx="36">
                    <c:v>HR TALENT ACQUISITION</c:v>
                  </c:pt>
                  <c:pt idx="37">
                    <c:v>ETHICS &amp; INTEGRITY</c:v>
                  </c:pt>
                  <c:pt idx="38">
                    <c:v>PROPERTY MANAGEMENT</c:v>
                  </c:pt>
                  <c:pt idx="39">
                    <c:v>ADMINISTRATION</c:v>
                  </c:pt>
                  <c:pt idx="40">
                    <c:v>MEMBER RECORDS</c:v>
                  </c:pt>
                  <c:pt idx="41">
                    <c:v>WESTLANDS</c:v>
                  </c:pt>
                  <c:pt idx="42">
                    <c:v>THIKA</c:v>
                  </c:pt>
                  <c:pt idx="43">
                    <c:v>UKUNDA</c:v>
                  </c:pt>
                  <c:pt idx="44">
                    <c:v>MACHAKOS</c:v>
                  </c:pt>
                  <c:pt idx="45">
                    <c:v>HILL BRANCH</c:v>
                  </c:pt>
                  <c:pt idx="46">
                    <c:v>KAKAMEGA</c:v>
                  </c:pt>
                  <c:pt idx="47">
                    <c:v>KIAMBU</c:v>
                  </c:pt>
                  <c:pt idx="48">
                    <c:v>ELDORET</c:v>
                  </c:pt>
                  <c:pt idx="49">
                    <c:v>EASTLEIGH</c:v>
                  </c:pt>
                  <c:pt idx="50">
                    <c:v>MTWAPA</c:v>
                  </c:pt>
                  <c:pt idx="51">
                    <c:v>HOMABAY</c:v>
                  </c:pt>
                  <c:pt idx="52">
                    <c:v>KITENGELA</c:v>
                  </c:pt>
                  <c:pt idx="53">
                    <c:v>INDUSTRIAL AREA</c:v>
                  </c:pt>
                  <c:pt idx="54">
                    <c:v>DONHOLM</c:v>
                  </c:pt>
                  <c:pt idx="55">
                    <c:v>NAKURU</c:v>
                  </c:pt>
                  <c:pt idx="56">
                    <c:v>WESTLANDS</c:v>
                  </c:pt>
                  <c:pt idx="57">
                    <c:v>THIKA</c:v>
                  </c:pt>
                  <c:pt idx="58">
                    <c:v>MACHAKOS</c:v>
                  </c:pt>
                  <c:pt idx="59">
                    <c:v>HILL BRANCH</c:v>
                  </c:pt>
                  <c:pt idx="60">
                    <c:v>MOMBASA</c:v>
                  </c:pt>
                  <c:pt idx="61">
                    <c:v>KAKAMEGA</c:v>
                  </c:pt>
                  <c:pt idx="62">
                    <c:v>KIAMBU</c:v>
                  </c:pt>
                  <c:pt idx="63">
                    <c:v>EASTLEIGH</c:v>
                  </c:pt>
                  <c:pt idx="64">
                    <c:v>MTWAPA</c:v>
                  </c:pt>
                  <c:pt idx="65">
                    <c:v>HOMABAY</c:v>
                  </c:pt>
                  <c:pt idx="66">
                    <c:v>KITENGELA</c:v>
                  </c:pt>
                  <c:pt idx="67">
                    <c:v>INDUSTRIAL AREA</c:v>
                  </c:pt>
                  <c:pt idx="68">
                    <c:v>NAKURU</c:v>
                  </c:pt>
                  <c:pt idx="69">
                    <c:v>CITY CENTRE</c:v>
                  </c:pt>
                  <c:pt idx="70">
                    <c:v>MOMBASA</c:v>
                  </c:pt>
                  <c:pt idx="71">
                    <c:v>KAKAMEGA</c:v>
                  </c:pt>
                  <c:pt idx="72">
                    <c:v>KIAMBU</c:v>
                  </c:pt>
                  <c:pt idx="73">
                    <c:v>ELDORET</c:v>
                  </c:pt>
                  <c:pt idx="74">
                    <c:v>MTWAPA</c:v>
                  </c:pt>
                  <c:pt idx="75">
                    <c:v>HOMABAY</c:v>
                  </c:pt>
                  <c:pt idx="76">
                    <c:v>KITENGELA</c:v>
                  </c:pt>
                  <c:pt idx="77">
                    <c:v>WESTLANDS</c:v>
                  </c:pt>
                  <c:pt idx="78">
                    <c:v>THIKA</c:v>
                  </c:pt>
                  <c:pt idx="79">
                    <c:v>CITY CENTRE</c:v>
                  </c:pt>
                  <c:pt idx="81">
                    <c:v>UKUNDA</c:v>
                  </c:pt>
                  <c:pt idx="82">
                    <c:v>KAKAMEGA</c:v>
                  </c:pt>
                  <c:pt idx="83">
                    <c:v>KIAMBU</c:v>
                  </c:pt>
                  <c:pt idx="84">
                    <c:v>KITENGELA</c:v>
                  </c:pt>
                  <c:pt idx="85">
                    <c:v>FINANCE</c:v>
                  </c:pt>
                  <c:pt idx="86">
                    <c:v>INVESTMENTS</c:v>
                  </c:pt>
                  <c:pt idx="87">
                    <c:v>STRATEGY &amp; CHANGE</c:v>
                  </c:pt>
                  <c:pt idx="88">
                    <c:v>REGISTRATION &amp; COMPLIANCE</c:v>
                  </c:pt>
                  <c:pt idx="89">
                    <c:v>GM HR/ADM</c:v>
                  </c:pt>
                  <c:pt idx="90">
                    <c:v>HR TALENT ACQUISITION</c:v>
                  </c:pt>
                  <c:pt idx="91">
                    <c:v>PROPERTY DEVELOPMENT</c:v>
                  </c:pt>
                  <c:pt idx="92">
                    <c:v>ETHICS &amp; INTEGRITY</c:v>
                  </c:pt>
                  <c:pt idx="93">
                    <c:v>MEMBER RECORDS</c:v>
                  </c:pt>
                  <c:pt idx="94">
                    <c:v>RISK MANAGEMENT</c:v>
                  </c:pt>
                  <c:pt idx="95">
                    <c:v>WESTLANDS</c:v>
                  </c:pt>
                  <c:pt idx="96">
                    <c:v>THIKA</c:v>
                  </c:pt>
                  <c:pt idx="97">
                    <c:v>CITY CENTRE</c:v>
                  </c:pt>
                  <c:pt idx="98">
                    <c:v>UKUNDA</c:v>
                  </c:pt>
                  <c:pt idx="99">
                    <c:v>KIAMBU</c:v>
                  </c:pt>
                  <c:pt idx="101">
                    <c:v>ELDORET</c:v>
                  </c:pt>
                  <c:pt idx="102">
                    <c:v>EASTLEIGH</c:v>
                  </c:pt>
                  <c:pt idx="103">
                    <c:v>HOMABAY</c:v>
                  </c:pt>
                  <c:pt idx="104">
                    <c:v>NAKURU</c:v>
                  </c:pt>
                </c:lvl>
                <c:lvl>
                  <c:pt idx="0">
                    <c:v>Membership Cards (Blank)</c:v>
                  </c:pt>
                  <c:pt idx="17">
                    <c:v>Laminating Pouches</c:v>
                  </c:pt>
                  <c:pt idx="30">
                    <c:v>Schedule of Contribution</c:v>
                  </c:pt>
                  <c:pt idx="31">
                    <c:v>Envelopes A5</c:v>
                  </c:pt>
                  <c:pt idx="41">
                    <c:v>Ben. App. Forms SF/001</c:v>
                  </c:pt>
                  <c:pt idx="56">
                    <c:v>Payment of Benefit Forms/004</c:v>
                  </c:pt>
                  <c:pt idx="69">
                    <c:v>Fingerprint Forms SF/003</c:v>
                  </c:pt>
                  <c:pt idx="77">
                    <c:v>App. For Employer SF/001</c:v>
                  </c:pt>
                  <c:pt idx="85">
                    <c:v>Envelopes A4</c:v>
                  </c:pt>
                  <c:pt idx="95">
                    <c:v>Registration Gen. Folders</c:v>
                  </c:pt>
                </c:lvl>
              </c:multiLvlStrCache>
            </c:multiLvlStrRef>
          </c:cat>
          <c:val>
            <c:numRef>
              <c:f>'MAX CONSUMPTION'!$B$7:$B$222</c:f>
              <c:numCache>
                <c:formatCode>General</c:formatCode>
                <c:ptCount val="105"/>
                <c:pt idx="0">
                  <c:v>3000</c:v>
                </c:pt>
                <c:pt idx="1">
                  <c:v>3000</c:v>
                </c:pt>
                <c:pt idx="2">
                  <c:v>2000</c:v>
                </c:pt>
                <c:pt idx="3">
                  <c:v>1000</c:v>
                </c:pt>
                <c:pt idx="4">
                  <c:v>4000</c:v>
                </c:pt>
                <c:pt idx="5">
                  <c:v>3000</c:v>
                </c:pt>
                <c:pt idx="6">
                  <c:v>3000</c:v>
                </c:pt>
                <c:pt idx="7">
                  <c:v>3000</c:v>
                </c:pt>
                <c:pt idx="8">
                  <c:v>3000</c:v>
                </c:pt>
                <c:pt idx="9">
                  <c:v>3000</c:v>
                </c:pt>
                <c:pt idx="10">
                  <c:v>2000</c:v>
                </c:pt>
                <c:pt idx="11">
                  <c:v>3000</c:v>
                </c:pt>
                <c:pt idx="12">
                  <c:v>1000</c:v>
                </c:pt>
                <c:pt idx="13">
                  <c:v>1000</c:v>
                </c:pt>
                <c:pt idx="14">
                  <c:v>3000</c:v>
                </c:pt>
                <c:pt idx="15">
                  <c:v>6000</c:v>
                </c:pt>
                <c:pt idx="16">
                  <c:v>1000</c:v>
                </c:pt>
                <c:pt idx="17">
                  <c:v>4000</c:v>
                </c:pt>
                <c:pt idx="18">
                  <c:v>3000</c:v>
                </c:pt>
                <c:pt idx="19">
                  <c:v>3000</c:v>
                </c:pt>
                <c:pt idx="20">
                  <c:v>2000</c:v>
                </c:pt>
                <c:pt idx="21">
                  <c:v>2000</c:v>
                </c:pt>
                <c:pt idx="22">
                  <c:v>3000</c:v>
                </c:pt>
                <c:pt idx="23">
                  <c:v>100</c:v>
                </c:pt>
                <c:pt idx="24">
                  <c:v>2000</c:v>
                </c:pt>
                <c:pt idx="25">
                  <c:v>2000</c:v>
                </c:pt>
                <c:pt idx="26">
                  <c:v>3000</c:v>
                </c:pt>
                <c:pt idx="27">
                  <c:v>2000</c:v>
                </c:pt>
                <c:pt idx="28">
                  <c:v>3000</c:v>
                </c:pt>
                <c:pt idx="29">
                  <c:v>2000</c:v>
                </c:pt>
                <c:pt idx="30">
                  <c:v>1000</c:v>
                </c:pt>
                <c:pt idx="31">
                  <c:v>200</c:v>
                </c:pt>
                <c:pt idx="32">
                  <c:v>200</c:v>
                </c:pt>
                <c:pt idx="33">
                  <c:v>100</c:v>
                </c:pt>
                <c:pt idx="34">
                  <c:v>500</c:v>
                </c:pt>
                <c:pt idx="35">
                  <c:v>200</c:v>
                </c:pt>
                <c:pt idx="36">
                  <c:v>500</c:v>
                </c:pt>
                <c:pt idx="37">
                  <c:v>50</c:v>
                </c:pt>
                <c:pt idx="38">
                  <c:v>10</c:v>
                </c:pt>
                <c:pt idx="39">
                  <c:v>50</c:v>
                </c:pt>
                <c:pt idx="40">
                  <c:v>100</c:v>
                </c:pt>
                <c:pt idx="41">
                  <c:v>400</c:v>
                </c:pt>
                <c:pt idx="42">
                  <c:v>500</c:v>
                </c:pt>
                <c:pt idx="43">
                  <c:v>400</c:v>
                </c:pt>
                <c:pt idx="44">
                  <c:v>300</c:v>
                </c:pt>
                <c:pt idx="45">
                  <c:v>500</c:v>
                </c:pt>
                <c:pt idx="46">
                  <c:v>300</c:v>
                </c:pt>
                <c:pt idx="47">
                  <c:v>300</c:v>
                </c:pt>
                <c:pt idx="48">
                  <c:v>500</c:v>
                </c:pt>
                <c:pt idx="49">
                  <c:v>300</c:v>
                </c:pt>
                <c:pt idx="50">
                  <c:v>150</c:v>
                </c:pt>
                <c:pt idx="51">
                  <c:v>300</c:v>
                </c:pt>
                <c:pt idx="52">
                  <c:v>400</c:v>
                </c:pt>
                <c:pt idx="53">
                  <c:v>500</c:v>
                </c:pt>
                <c:pt idx="54">
                  <c:v>500</c:v>
                </c:pt>
                <c:pt idx="55">
                  <c:v>500</c:v>
                </c:pt>
                <c:pt idx="56">
                  <c:v>500</c:v>
                </c:pt>
                <c:pt idx="57">
                  <c:v>500</c:v>
                </c:pt>
                <c:pt idx="58">
                  <c:v>500</c:v>
                </c:pt>
                <c:pt idx="59">
                  <c:v>500</c:v>
                </c:pt>
                <c:pt idx="60">
                  <c:v>500</c:v>
                </c:pt>
                <c:pt idx="61">
                  <c:v>500</c:v>
                </c:pt>
                <c:pt idx="62">
                  <c:v>400</c:v>
                </c:pt>
                <c:pt idx="63">
                  <c:v>300</c:v>
                </c:pt>
                <c:pt idx="64">
                  <c:v>100</c:v>
                </c:pt>
                <c:pt idx="65">
                  <c:v>500</c:v>
                </c:pt>
                <c:pt idx="66">
                  <c:v>500</c:v>
                </c:pt>
                <c:pt idx="67">
                  <c:v>500</c:v>
                </c:pt>
                <c:pt idx="68">
                  <c:v>500</c:v>
                </c:pt>
                <c:pt idx="69">
                  <c:v>500</c:v>
                </c:pt>
                <c:pt idx="70">
                  <c:v>500</c:v>
                </c:pt>
                <c:pt idx="71">
                  <c:v>500</c:v>
                </c:pt>
                <c:pt idx="72">
                  <c:v>500</c:v>
                </c:pt>
                <c:pt idx="73">
                  <c:v>500</c:v>
                </c:pt>
                <c:pt idx="74">
                  <c:v>500</c:v>
                </c:pt>
                <c:pt idx="75">
                  <c:v>500</c:v>
                </c:pt>
                <c:pt idx="76">
                  <c:v>500</c:v>
                </c:pt>
                <c:pt idx="77">
                  <c:v>500</c:v>
                </c:pt>
                <c:pt idx="78">
                  <c:v>500</c:v>
                </c:pt>
                <c:pt idx="79">
                  <c:v>500</c:v>
                </c:pt>
                <c:pt idx="80">
                  <c:v>500</c:v>
                </c:pt>
                <c:pt idx="81">
                  <c:v>500</c:v>
                </c:pt>
                <c:pt idx="82">
                  <c:v>500</c:v>
                </c:pt>
                <c:pt idx="83">
                  <c:v>500</c:v>
                </c:pt>
                <c:pt idx="84">
                  <c:v>500</c:v>
                </c:pt>
                <c:pt idx="85">
                  <c:v>200</c:v>
                </c:pt>
                <c:pt idx="86">
                  <c:v>200</c:v>
                </c:pt>
                <c:pt idx="87">
                  <c:v>300</c:v>
                </c:pt>
                <c:pt idx="88">
                  <c:v>200</c:v>
                </c:pt>
                <c:pt idx="89">
                  <c:v>500</c:v>
                </c:pt>
                <c:pt idx="90">
                  <c:v>500</c:v>
                </c:pt>
                <c:pt idx="91">
                  <c:v>100</c:v>
                </c:pt>
                <c:pt idx="92">
                  <c:v>100</c:v>
                </c:pt>
                <c:pt idx="93">
                  <c:v>100</c:v>
                </c:pt>
                <c:pt idx="94">
                  <c:v>200</c:v>
                </c:pt>
                <c:pt idx="95">
                  <c:v>300</c:v>
                </c:pt>
                <c:pt idx="96">
                  <c:v>300</c:v>
                </c:pt>
                <c:pt idx="97">
                  <c:v>300</c:v>
                </c:pt>
                <c:pt idx="98">
                  <c:v>200</c:v>
                </c:pt>
                <c:pt idx="99">
                  <c:v>200</c:v>
                </c:pt>
                <c:pt idx="100">
                  <c:v>300</c:v>
                </c:pt>
                <c:pt idx="101">
                  <c:v>300</c:v>
                </c:pt>
                <c:pt idx="102">
                  <c:v>200</c:v>
                </c:pt>
                <c:pt idx="103">
                  <c:v>300</c:v>
                </c:pt>
                <c:pt idx="104">
                  <c:v>300</c:v>
                </c:pt>
              </c:numCache>
            </c:numRef>
          </c:val>
          <c:extLst>
            <c:ext xmlns:c16="http://schemas.microsoft.com/office/drawing/2014/chart" uri="{C3380CC4-5D6E-409C-BE32-E72D297353CC}">
              <c16:uniqueId val="{00000000-2E9C-4BBE-9579-341B3E312C8C}"/>
            </c:ext>
          </c:extLst>
        </c:ser>
        <c:dLbls>
          <c:dLblPos val="outEnd"/>
          <c:showLegendKey val="0"/>
          <c:showVal val="1"/>
          <c:showCatName val="0"/>
          <c:showSerName val="0"/>
          <c:showPercent val="0"/>
          <c:showBubbleSize val="0"/>
        </c:dLbls>
        <c:gapWidth val="0"/>
        <c:axId val="508482056"/>
        <c:axId val="508484576"/>
      </c:barChart>
      <c:catAx>
        <c:axId val="508482056"/>
        <c:scaling>
          <c:orientation val="maxMin"/>
        </c:scaling>
        <c:delete val="0"/>
        <c:axPos val="l"/>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8484576"/>
        <c:crosses val="autoZero"/>
        <c:auto val="1"/>
        <c:lblAlgn val="ctr"/>
        <c:lblOffset val="100"/>
        <c:noMultiLvlLbl val="0"/>
      </c:catAx>
      <c:valAx>
        <c:axId val="508484576"/>
        <c:scaling>
          <c:orientation val="minMax"/>
        </c:scaling>
        <c:delete val="1"/>
        <c:axPos val="t"/>
        <c:numFmt formatCode="General" sourceLinked="1"/>
        <c:majorTickMark val="none"/>
        <c:minorTickMark val="none"/>
        <c:tickLblPos val="nextTo"/>
        <c:crossAx val="5084820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22">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ize="5"/>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5</xdr:col>
      <xdr:colOff>0</xdr:colOff>
      <xdr:row>7</xdr:row>
      <xdr:rowOff>28576</xdr:rowOff>
    </xdr:from>
    <xdr:to>
      <xdr:col>14</xdr:col>
      <xdr:colOff>200025</xdr:colOff>
      <xdr:row>25</xdr:row>
      <xdr:rowOff>190499</xdr:rowOff>
    </xdr:to>
    <xdr:graphicFrame macro="">
      <xdr:nvGraphicFramePr>
        <xdr:cNvPr id="5" name="Chart 4">
          <a:extLst>
            <a:ext uri="{FF2B5EF4-FFF2-40B4-BE49-F238E27FC236}">
              <a16:creationId xmlns:a16="http://schemas.microsoft.com/office/drawing/2014/main" id="{5B39DB28-1BC7-4CA4-B8E3-04BF3A45BBC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19050</xdr:colOff>
      <xdr:row>0</xdr:row>
      <xdr:rowOff>0</xdr:rowOff>
    </xdr:from>
    <xdr:to>
      <xdr:col>10</xdr:col>
      <xdr:colOff>1028700</xdr:colOff>
      <xdr:row>5</xdr:row>
      <xdr:rowOff>171450</xdr:rowOff>
    </xdr:to>
    <mc:AlternateContent xmlns:mc="http://schemas.openxmlformats.org/markup-compatibility/2006" xmlns:a14="http://schemas.microsoft.com/office/drawing/2010/main">
      <mc:Choice Requires="a14">
        <xdr:graphicFrame macro="">
          <xdr:nvGraphicFramePr>
            <xdr:cNvPr id="2" name="Store">
              <a:extLst>
                <a:ext uri="{FF2B5EF4-FFF2-40B4-BE49-F238E27FC236}">
                  <a16:creationId xmlns:a16="http://schemas.microsoft.com/office/drawing/2014/main" id="{BA4CF476-63C0-4A77-A771-BD214324A741}"/>
                </a:ext>
              </a:extLst>
            </xdr:cNvPr>
            <xdr:cNvGraphicFramePr/>
          </xdr:nvGraphicFramePr>
          <xdr:xfrm>
            <a:off x="0" y="0"/>
            <a:ext cx="0" cy="0"/>
          </xdr:xfrm>
          <a:graphic>
            <a:graphicData uri="http://schemas.microsoft.com/office/drawing/2010/slicer">
              <sle:slicer xmlns:sle="http://schemas.microsoft.com/office/drawing/2010/slicer" name="Store"/>
            </a:graphicData>
          </a:graphic>
        </xdr:graphicFrame>
      </mc:Choice>
      <mc:Fallback xmlns="">
        <xdr:sp macro="" textlink="">
          <xdr:nvSpPr>
            <xdr:cNvPr id="0" name=""/>
            <xdr:cNvSpPr>
              <a:spLocks noTextEdit="1"/>
            </xdr:cNvSpPr>
          </xdr:nvSpPr>
          <xdr:spPr>
            <a:xfrm>
              <a:off x="8953500" y="0"/>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971550</xdr:colOff>
      <xdr:row>0</xdr:row>
      <xdr:rowOff>0</xdr:rowOff>
    </xdr:from>
    <xdr:to>
      <xdr:col>11</xdr:col>
      <xdr:colOff>1263650</xdr:colOff>
      <xdr:row>5</xdr:row>
      <xdr:rowOff>171450</xdr:rowOff>
    </xdr:to>
    <mc:AlternateContent xmlns:mc="http://schemas.openxmlformats.org/markup-compatibility/2006" xmlns:a14="http://schemas.microsoft.com/office/drawing/2010/main">
      <mc:Choice Requires="a14">
        <xdr:graphicFrame macro="">
          <xdr:nvGraphicFramePr>
            <xdr:cNvPr id="3" name="Value of Deficiency">
              <a:extLst>
                <a:ext uri="{FF2B5EF4-FFF2-40B4-BE49-F238E27FC236}">
                  <a16:creationId xmlns:a16="http://schemas.microsoft.com/office/drawing/2014/main" id="{B337ED81-4453-4662-99D0-F5528B882007}"/>
                </a:ext>
              </a:extLst>
            </xdr:cNvPr>
            <xdr:cNvGraphicFramePr/>
          </xdr:nvGraphicFramePr>
          <xdr:xfrm>
            <a:off x="0" y="0"/>
            <a:ext cx="0" cy="0"/>
          </xdr:xfrm>
          <a:graphic>
            <a:graphicData uri="http://schemas.microsoft.com/office/drawing/2010/slicer">
              <sle:slicer xmlns:sle="http://schemas.microsoft.com/office/drawing/2010/slicer" name="Value of Deficiency"/>
            </a:graphicData>
          </a:graphic>
        </xdr:graphicFrame>
      </mc:Choice>
      <mc:Fallback xmlns="">
        <xdr:sp macro="" textlink="">
          <xdr:nvSpPr>
            <xdr:cNvPr id="0" name=""/>
            <xdr:cNvSpPr>
              <a:spLocks noTextEdit="1"/>
            </xdr:cNvSpPr>
          </xdr:nvSpPr>
          <xdr:spPr>
            <a:xfrm>
              <a:off x="10782300" y="0"/>
              <a:ext cx="1828800" cy="11811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1104900</xdr:colOff>
      <xdr:row>0</xdr:row>
      <xdr:rowOff>0</xdr:rowOff>
    </xdr:from>
    <xdr:to>
      <xdr:col>14</xdr:col>
      <xdr:colOff>333375</xdr:colOff>
      <xdr:row>5</xdr:row>
      <xdr:rowOff>180975</xdr:rowOff>
    </xdr:to>
    <mc:AlternateContent xmlns:mc="http://schemas.openxmlformats.org/markup-compatibility/2006" xmlns:a14="http://schemas.microsoft.com/office/drawing/2010/main">
      <mc:Choice Requires="a14">
        <xdr:graphicFrame macro="">
          <xdr:nvGraphicFramePr>
            <xdr:cNvPr id="4" name="Value of Surplus">
              <a:extLst>
                <a:ext uri="{FF2B5EF4-FFF2-40B4-BE49-F238E27FC236}">
                  <a16:creationId xmlns:a16="http://schemas.microsoft.com/office/drawing/2014/main" id="{F08BC816-DF39-47D9-8312-57FD60F83F47}"/>
                </a:ext>
              </a:extLst>
            </xdr:cNvPr>
            <xdr:cNvGraphicFramePr/>
          </xdr:nvGraphicFramePr>
          <xdr:xfrm>
            <a:off x="0" y="0"/>
            <a:ext cx="0" cy="0"/>
          </xdr:xfrm>
          <a:graphic>
            <a:graphicData uri="http://schemas.microsoft.com/office/drawing/2010/slicer">
              <sle:slicer xmlns:sle="http://schemas.microsoft.com/office/drawing/2010/slicer" name="Value of Surplus"/>
            </a:graphicData>
          </a:graphic>
        </xdr:graphicFrame>
      </mc:Choice>
      <mc:Fallback xmlns="">
        <xdr:sp macro="" textlink="">
          <xdr:nvSpPr>
            <xdr:cNvPr id="0" name=""/>
            <xdr:cNvSpPr>
              <a:spLocks noTextEdit="1"/>
            </xdr:cNvSpPr>
          </xdr:nvSpPr>
          <xdr:spPr>
            <a:xfrm>
              <a:off x="12592050" y="0"/>
              <a:ext cx="1828800" cy="11906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24</xdr:row>
      <xdr:rowOff>69850</xdr:rowOff>
    </xdr:from>
    <xdr:to>
      <xdr:col>8</xdr:col>
      <xdr:colOff>381000</xdr:colOff>
      <xdr:row>76</xdr:row>
      <xdr:rowOff>152400</xdr:rowOff>
    </xdr:to>
    <xdr:graphicFrame macro="">
      <xdr:nvGraphicFramePr>
        <xdr:cNvPr id="2" name="Chart 1">
          <a:extLst>
            <a:ext uri="{FF2B5EF4-FFF2-40B4-BE49-F238E27FC236}">
              <a16:creationId xmlns:a16="http://schemas.microsoft.com/office/drawing/2014/main" id="{31556021-5628-46DD-BA64-A6301E66534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365125</xdr:colOff>
      <xdr:row>29</xdr:row>
      <xdr:rowOff>50801</xdr:rowOff>
    </xdr:from>
    <xdr:to>
      <xdr:col>10</xdr:col>
      <xdr:colOff>657225</xdr:colOff>
      <xdr:row>33</xdr:row>
      <xdr:rowOff>120651</xdr:rowOff>
    </xdr:to>
    <mc:AlternateContent xmlns:mc="http://schemas.openxmlformats.org/markup-compatibility/2006" xmlns:a14="http://schemas.microsoft.com/office/drawing/2010/main">
      <mc:Choice Requires="a14">
        <xdr:graphicFrame macro="">
          <xdr:nvGraphicFramePr>
            <xdr:cNvPr id="3" name="Type">
              <a:extLst>
                <a:ext uri="{FF2B5EF4-FFF2-40B4-BE49-F238E27FC236}">
                  <a16:creationId xmlns:a16="http://schemas.microsoft.com/office/drawing/2014/main" id="{94579F30-DFE1-4971-887B-C1D75E6F1555}"/>
                </a:ext>
              </a:extLst>
            </xdr:cNvPr>
            <xdr:cNvGraphicFramePr/>
          </xdr:nvGraphicFramePr>
          <xdr:xfrm>
            <a:off x="0" y="0"/>
            <a:ext cx="0" cy="0"/>
          </xdr:xfrm>
          <a:graphic>
            <a:graphicData uri="http://schemas.microsoft.com/office/drawing/2010/slicer">
              <sle:slicer xmlns:sle="http://schemas.microsoft.com/office/drawing/2010/slicer" name="Type"/>
            </a:graphicData>
          </a:graphic>
        </xdr:graphicFrame>
      </mc:Choice>
      <mc:Fallback xmlns="">
        <xdr:sp macro="" textlink="">
          <xdr:nvSpPr>
            <xdr:cNvPr id="0" name=""/>
            <xdr:cNvSpPr>
              <a:spLocks noTextEdit="1"/>
            </xdr:cNvSpPr>
          </xdr:nvSpPr>
          <xdr:spPr>
            <a:xfrm>
              <a:off x="6804025" y="5435601"/>
              <a:ext cx="1809750" cy="831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387350</xdr:colOff>
      <xdr:row>34</xdr:row>
      <xdr:rowOff>1</xdr:rowOff>
    </xdr:from>
    <xdr:to>
      <xdr:col>10</xdr:col>
      <xdr:colOff>679450</xdr:colOff>
      <xdr:row>43</xdr:row>
      <xdr:rowOff>1</xdr:rowOff>
    </xdr:to>
    <mc:AlternateContent xmlns:mc="http://schemas.openxmlformats.org/markup-compatibility/2006" xmlns:a14="http://schemas.microsoft.com/office/drawing/2010/main">
      <mc:Choice Requires="a14">
        <xdr:graphicFrame macro="">
          <xdr:nvGraphicFramePr>
            <xdr:cNvPr id="4" name="Item Description">
              <a:extLst>
                <a:ext uri="{FF2B5EF4-FFF2-40B4-BE49-F238E27FC236}">
                  <a16:creationId xmlns:a16="http://schemas.microsoft.com/office/drawing/2014/main" id="{B4DDE967-7B78-4B38-8864-C42901B3E95B}"/>
                </a:ext>
              </a:extLst>
            </xdr:cNvPr>
            <xdr:cNvGraphicFramePr/>
          </xdr:nvGraphicFramePr>
          <xdr:xfrm>
            <a:off x="0" y="0"/>
            <a:ext cx="0" cy="0"/>
          </xdr:xfrm>
          <a:graphic>
            <a:graphicData uri="http://schemas.microsoft.com/office/drawing/2010/slicer">
              <sle:slicer xmlns:sle="http://schemas.microsoft.com/office/drawing/2010/slicer" name="Item Description"/>
            </a:graphicData>
          </a:graphic>
        </xdr:graphicFrame>
      </mc:Choice>
      <mc:Fallback xmlns="">
        <xdr:sp macro="" textlink="">
          <xdr:nvSpPr>
            <xdr:cNvPr id="0" name=""/>
            <xdr:cNvSpPr>
              <a:spLocks noTextEdit="1"/>
            </xdr:cNvSpPr>
          </xdr:nvSpPr>
          <xdr:spPr>
            <a:xfrm>
              <a:off x="6826250" y="6305551"/>
              <a:ext cx="1809750" cy="17145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117475</xdr:colOff>
      <xdr:row>34</xdr:row>
      <xdr:rowOff>152400</xdr:rowOff>
    </xdr:from>
    <xdr:to>
      <xdr:col>14</xdr:col>
      <xdr:colOff>136525</xdr:colOff>
      <xdr:row>43</xdr:row>
      <xdr:rowOff>152399</xdr:rowOff>
    </xdr:to>
    <mc:AlternateContent xmlns:mc="http://schemas.openxmlformats.org/markup-compatibility/2006" xmlns:a14="http://schemas.microsoft.com/office/drawing/2010/main">
      <mc:Choice Requires="a14">
        <xdr:graphicFrame macro="">
          <xdr:nvGraphicFramePr>
            <xdr:cNvPr id="5" name="In&amp;Out Qty">
              <a:extLst>
                <a:ext uri="{FF2B5EF4-FFF2-40B4-BE49-F238E27FC236}">
                  <a16:creationId xmlns:a16="http://schemas.microsoft.com/office/drawing/2014/main" id="{1F0202CB-8AA3-42CE-BE93-EEC2A2C40127}"/>
                </a:ext>
              </a:extLst>
            </xdr:cNvPr>
            <xdr:cNvGraphicFramePr/>
          </xdr:nvGraphicFramePr>
          <xdr:xfrm>
            <a:off x="0" y="0"/>
            <a:ext cx="0" cy="0"/>
          </xdr:xfrm>
          <a:graphic>
            <a:graphicData uri="http://schemas.microsoft.com/office/drawing/2010/slicer">
              <sle:slicer xmlns:sle="http://schemas.microsoft.com/office/drawing/2010/slicer" name="In&amp;Out Qty"/>
            </a:graphicData>
          </a:graphic>
        </xdr:graphicFrame>
      </mc:Choice>
      <mc:Fallback xmlns="">
        <xdr:sp macro="" textlink="">
          <xdr:nvSpPr>
            <xdr:cNvPr id="0" name=""/>
            <xdr:cNvSpPr>
              <a:spLocks noTextEdit="1"/>
            </xdr:cNvSpPr>
          </xdr:nvSpPr>
          <xdr:spPr>
            <a:xfrm>
              <a:off x="8810625" y="6457950"/>
              <a:ext cx="1828800" cy="171449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xdr:colOff>
      <xdr:row>29</xdr:row>
      <xdr:rowOff>31750</xdr:rowOff>
    </xdr:from>
    <xdr:to>
      <xdr:col>14</xdr:col>
      <xdr:colOff>47625</xdr:colOff>
      <xdr:row>33</xdr:row>
      <xdr:rowOff>101600</xdr:rowOff>
    </xdr:to>
    <mc:AlternateContent xmlns:mc="http://schemas.openxmlformats.org/markup-compatibility/2006" xmlns:a14="http://schemas.microsoft.com/office/drawing/2010/main">
      <mc:Choice Requires="a14">
        <xdr:graphicFrame macro="">
          <xdr:nvGraphicFramePr>
            <xdr:cNvPr id="6" name="Department">
              <a:extLst>
                <a:ext uri="{FF2B5EF4-FFF2-40B4-BE49-F238E27FC236}">
                  <a16:creationId xmlns:a16="http://schemas.microsoft.com/office/drawing/2014/main" id="{55BAE797-98B4-469A-A4C1-9AADBC933748}"/>
                </a:ext>
              </a:extLst>
            </xdr:cNvPr>
            <xdr:cNvGraphicFramePr/>
          </xdr:nvGraphicFramePr>
          <xdr:xfrm>
            <a:off x="0" y="0"/>
            <a:ext cx="0" cy="0"/>
          </xdr:xfrm>
          <a:graphic>
            <a:graphicData uri="http://schemas.microsoft.com/office/drawing/2010/slicer">
              <sle:slicer xmlns:sle="http://schemas.microsoft.com/office/drawing/2010/slicer" name="Department"/>
            </a:graphicData>
          </a:graphic>
        </xdr:graphicFrame>
      </mc:Choice>
      <mc:Fallback xmlns="">
        <xdr:sp macro="" textlink="">
          <xdr:nvSpPr>
            <xdr:cNvPr id="0" name=""/>
            <xdr:cNvSpPr>
              <a:spLocks noTextEdit="1"/>
            </xdr:cNvSpPr>
          </xdr:nvSpPr>
          <xdr:spPr>
            <a:xfrm>
              <a:off x="8721725" y="5416550"/>
              <a:ext cx="1828800" cy="8318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8</xdr:col>
      <xdr:colOff>365124</xdr:colOff>
      <xdr:row>22</xdr:row>
      <xdr:rowOff>171450</xdr:rowOff>
    </xdr:from>
    <xdr:to>
      <xdr:col>13</xdr:col>
      <xdr:colOff>634999</xdr:colOff>
      <xdr:row>28</xdr:row>
      <xdr:rowOff>171450</xdr:rowOff>
    </xdr:to>
    <mc:AlternateContent xmlns:mc="http://schemas.openxmlformats.org/markup-compatibility/2006" xmlns:tsle="http://schemas.microsoft.com/office/drawing/2012/timeslicer">
      <mc:Choice Requires="tsle">
        <xdr:graphicFrame macro="">
          <xdr:nvGraphicFramePr>
            <xdr:cNvPr id="7" name="Date">
              <a:extLst>
                <a:ext uri="{FF2B5EF4-FFF2-40B4-BE49-F238E27FC236}">
                  <a16:creationId xmlns:a16="http://schemas.microsoft.com/office/drawing/2014/main" id="{ED305E24-8BD2-4144-B537-78C46606BB09}"/>
                </a:ext>
              </a:extLst>
            </xdr:cNvPr>
            <xdr:cNvGraphicFramePr/>
          </xdr:nvGraphicFramePr>
          <xdr:xfrm>
            <a:off x="0" y="0"/>
            <a:ext cx="0" cy="0"/>
          </xdr:xfrm>
          <a:graphic>
            <a:graphicData uri="http://schemas.microsoft.com/office/drawing/2012/timeslicer">
              <tsle:timeslicer name="Date"/>
            </a:graphicData>
          </a:graphic>
        </xdr:graphicFrame>
      </mc:Choice>
      <mc:Fallback xmlns="">
        <xdr:sp macro="" textlink="">
          <xdr:nvSpPr>
            <xdr:cNvPr id="0" name=""/>
            <xdr:cNvSpPr>
              <a:spLocks noTextEdit="1"/>
            </xdr:cNvSpPr>
          </xdr:nvSpPr>
          <xdr:spPr>
            <a:xfrm>
              <a:off x="6804024" y="4267200"/>
              <a:ext cx="3648075" cy="11430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22</xdr:col>
      <xdr:colOff>539750</xdr:colOff>
      <xdr:row>55</xdr:row>
      <xdr:rowOff>12700</xdr:rowOff>
    </xdr:from>
    <xdr:to>
      <xdr:col>42</xdr:col>
      <xdr:colOff>63500</xdr:colOff>
      <xdr:row>111</xdr:row>
      <xdr:rowOff>63500</xdr:rowOff>
    </xdr:to>
    <xdr:graphicFrame macro="">
      <xdr:nvGraphicFramePr>
        <xdr:cNvPr id="2" name="Chart 1">
          <a:extLst>
            <a:ext uri="{FF2B5EF4-FFF2-40B4-BE49-F238E27FC236}">
              <a16:creationId xmlns:a16="http://schemas.microsoft.com/office/drawing/2014/main" id="{516C02A0-23B2-4629-AE0E-090416C499A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161925</xdr:colOff>
      <xdr:row>6</xdr:row>
      <xdr:rowOff>123825</xdr:rowOff>
    </xdr:from>
    <xdr:to>
      <xdr:col>13</xdr:col>
      <xdr:colOff>161925</xdr:colOff>
      <xdr:row>11</xdr:row>
      <xdr:rowOff>120650</xdr:rowOff>
    </xdr:to>
    <mc:AlternateContent xmlns:mc="http://schemas.openxmlformats.org/markup-compatibility/2006" xmlns:a14="http://schemas.microsoft.com/office/drawing/2010/main">
      <mc:Choice Requires="a14">
        <xdr:graphicFrame macro="">
          <xdr:nvGraphicFramePr>
            <xdr:cNvPr id="3" name="Type 1">
              <a:extLst>
                <a:ext uri="{FF2B5EF4-FFF2-40B4-BE49-F238E27FC236}">
                  <a16:creationId xmlns:a16="http://schemas.microsoft.com/office/drawing/2014/main" id="{59359E48-4393-4973-8FA5-EDA6C5AC68E8}"/>
                </a:ext>
              </a:extLst>
            </xdr:cNvPr>
            <xdr:cNvGraphicFramePr/>
          </xdr:nvGraphicFramePr>
          <xdr:xfrm>
            <a:off x="0" y="0"/>
            <a:ext cx="0" cy="0"/>
          </xdr:xfrm>
          <a:graphic>
            <a:graphicData uri="http://schemas.microsoft.com/office/drawing/2010/slicer">
              <sle:slicer xmlns:sle="http://schemas.microsoft.com/office/drawing/2010/slicer" name="Type 1"/>
            </a:graphicData>
          </a:graphic>
        </xdr:graphicFrame>
      </mc:Choice>
      <mc:Fallback xmlns="">
        <xdr:sp macro="" textlink="">
          <xdr:nvSpPr>
            <xdr:cNvPr id="0" name=""/>
            <xdr:cNvSpPr>
              <a:spLocks noTextEdit="1"/>
            </xdr:cNvSpPr>
          </xdr:nvSpPr>
          <xdr:spPr>
            <a:xfrm>
              <a:off x="9331325" y="1260475"/>
              <a:ext cx="1828800" cy="9493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171450</xdr:colOff>
      <xdr:row>11</xdr:row>
      <xdr:rowOff>180977</xdr:rowOff>
    </xdr:from>
    <xdr:to>
      <xdr:col>13</xdr:col>
      <xdr:colOff>171450</xdr:colOff>
      <xdr:row>19</xdr:row>
      <xdr:rowOff>63501</xdr:rowOff>
    </xdr:to>
    <mc:AlternateContent xmlns:mc="http://schemas.openxmlformats.org/markup-compatibility/2006" xmlns:a14="http://schemas.microsoft.com/office/drawing/2010/main">
      <mc:Choice Requires="a14">
        <xdr:graphicFrame macro="">
          <xdr:nvGraphicFramePr>
            <xdr:cNvPr id="5" name="Item Description 1">
              <a:extLst>
                <a:ext uri="{FF2B5EF4-FFF2-40B4-BE49-F238E27FC236}">
                  <a16:creationId xmlns:a16="http://schemas.microsoft.com/office/drawing/2014/main" id="{532E1DF6-F01C-4C27-8DFD-2FF1BED4B35B}"/>
                </a:ext>
              </a:extLst>
            </xdr:cNvPr>
            <xdr:cNvGraphicFramePr/>
          </xdr:nvGraphicFramePr>
          <xdr:xfrm>
            <a:off x="0" y="0"/>
            <a:ext cx="0" cy="0"/>
          </xdr:xfrm>
          <a:graphic>
            <a:graphicData uri="http://schemas.microsoft.com/office/drawing/2010/slicer">
              <sle:slicer xmlns:sle="http://schemas.microsoft.com/office/drawing/2010/slicer" name="Item Description 1"/>
            </a:graphicData>
          </a:graphic>
        </xdr:graphicFrame>
      </mc:Choice>
      <mc:Fallback xmlns="">
        <xdr:sp macro="" textlink="">
          <xdr:nvSpPr>
            <xdr:cNvPr id="0" name=""/>
            <xdr:cNvSpPr>
              <a:spLocks noTextEdit="1"/>
            </xdr:cNvSpPr>
          </xdr:nvSpPr>
          <xdr:spPr>
            <a:xfrm>
              <a:off x="9340850" y="2270127"/>
              <a:ext cx="1828800" cy="14065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219075</xdr:colOff>
      <xdr:row>6</xdr:row>
      <xdr:rowOff>114300</xdr:rowOff>
    </xdr:from>
    <xdr:to>
      <xdr:col>16</xdr:col>
      <xdr:colOff>219075</xdr:colOff>
      <xdr:row>11</xdr:row>
      <xdr:rowOff>130175</xdr:rowOff>
    </xdr:to>
    <mc:AlternateContent xmlns:mc="http://schemas.openxmlformats.org/markup-compatibility/2006" xmlns:a14="http://schemas.microsoft.com/office/drawing/2010/main">
      <mc:Choice Requires="a14">
        <xdr:graphicFrame macro="">
          <xdr:nvGraphicFramePr>
            <xdr:cNvPr id="7" name="Department 1">
              <a:extLst>
                <a:ext uri="{FF2B5EF4-FFF2-40B4-BE49-F238E27FC236}">
                  <a16:creationId xmlns:a16="http://schemas.microsoft.com/office/drawing/2014/main" id="{94BE5D11-69A5-455E-B193-A3F4CDCC0118}"/>
                </a:ext>
              </a:extLst>
            </xdr:cNvPr>
            <xdr:cNvGraphicFramePr/>
          </xdr:nvGraphicFramePr>
          <xdr:xfrm>
            <a:off x="0" y="0"/>
            <a:ext cx="0" cy="0"/>
          </xdr:xfrm>
          <a:graphic>
            <a:graphicData uri="http://schemas.microsoft.com/office/drawing/2010/slicer">
              <sle:slicer xmlns:sle="http://schemas.microsoft.com/office/drawing/2010/slicer" name="Department 1"/>
            </a:graphicData>
          </a:graphic>
        </xdr:graphicFrame>
      </mc:Choice>
      <mc:Fallback xmlns="">
        <xdr:sp macro="" textlink="">
          <xdr:nvSpPr>
            <xdr:cNvPr id="0" name=""/>
            <xdr:cNvSpPr>
              <a:spLocks noTextEdit="1"/>
            </xdr:cNvSpPr>
          </xdr:nvSpPr>
          <xdr:spPr>
            <a:xfrm>
              <a:off x="9906000" y="1257300"/>
              <a:ext cx="1828800" cy="10001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219075</xdr:colOff>
      <xdr:row>12</xdr:row>
      <xdr:rowOff>0</xdr:rowOff>
    </xdr:from>
    <xdr:to>
      <xdr:col>16</xdr:col>
      <xdr:colOff>219075</xdr:colOff>
      <xdr:row>19</xdr:row>
      <xdr:rowOff>60325</xdr:rowOff>
    </xdr:to>
    <mc:AlternateContent xmlns:mc="http://schemas.openxmlformats.org/markup-compatibility/2006" xmlns:a14="http://schemas.microsoft.com/office/drawing/2010/main">
      <mc:Choice Requires="a14">
        <xdr:graphicFrame macro="">
          <xdr:nvGraphicFramePr>
            <xdr:cNvPr id="9" name="In&amp;Out Qty 1">
              <a:extLst>
                <a:ext uri="{FF2B5EF4-FFF2-40B4-BE49-F238E27FC236}">
                  <a16:creationId xmlns:a16="http://schemas.microsoft.com/office/drawing/2014/main" id="{8D602FAD-02B3-4F2F-8421-C1B1C06371A7}"/>
                </a:ext>
              </a:extLst>
            </xdr:cNvPr>
            <xdr:cNvGraphicFramePr/>
          </xdr:nvGraphicFramePr>
          <xdr:xfrm>
            <a:off x="0" y="0"/>
            <a:ext cx="0" cy="0"/>
          </xdr:xfrm>
          <a:graphic>
            <a:graphicData uri="http://schemas.microsoft.com/office/drawing/2010/slicer">
              <sle:slicer xmlns:sle="http://schemas.microsoft.com/office/drawing/2010/slicer" name="In&amp;Out Qty 1"/>
            </a:graphicData>
          </a:graphic>
        </xdr:graphicFrame>
      </mc:Choice>
      <mc:Fallback xmlns="">
        <xdr:sp macro="" textlink="">
          <xdr:nvSpPr>
            <xdr:cNvPr id="0" name=""/>
            <xdr:cNvSpPr>
              <a:spLocks noTextEdit="1"/>
            </xdr:cNvSpPr>
          </xdr:nvSpPr>
          <xdr:spPr>
            <a:xfrm>
              <a:off x="9906000" y="2286000"/>
              <a:ext cx="1828800" cy="14382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10</xdr:col>
      <xdr:colOff>180975</xdr:colOff>
      <xdr:row>0</xdr:row>
      <xdr:rowOff>47625</xdr:rowOff>
    </xdr:from>
    <xdr:to>
      <xdr:col>15</xdr:col>
      <xdr:colOff>466725</xdr:colOff>
      <xdr:row>6</xdr:row>
      <xdr:rowOff>53975</xdr:rowOff>
    </xdr:to>
    <mc:AlternateContent xmlns:mc="http://schemas.openxmlformats.org/markup-compatibility/2006" xmlns:tsle="http://schemas.microsoft.com/office/drawing/2012/timeslicer">
      <mc:Choice Requires="tsle">
        <xdr:graphicFrame macro="">
          <xdr:nvGraphicFramePr>
            <xdr:cNvPr id="4" name="Date 2">
              <a:extLst>
                <a:ext uri="{FF2B5EF4-FFF2-40B4-BE49-F238E27FC236}">
                  <a16:creationId xmlns:a16="http://schemas.microsoft.com/office/drawing/2014/main" id="{6B293704-35FD-4160-B943-1E8A608DE7AC}"/>
                </a:ext>
              </a:extLst>
            </xdr:cNvPr>
            <xdr:cNvGraphicFramePr/>
          </xdr:nvGraphicFramePr>
          <xdr:xfrm>
            <a:off x="0" y="0"/>
            <a:ext cx="0" cy="0"/>
          </xdr:xfrm>
          <a:graphic>
            <a:graphicData uri="http://schemas.microsoft.com/office/drawing/2012/timeslicer">
              <tsle:timeslicer name="Date 2"/>
            </a:graphicData>
          </a:graphic>
        </xdr:graphicFrame>
      </mc:Choice>
      <mc:Fallback xmlns="">
        <xdr:sp macro="" textlink="">
          <xdr:nvSpPr>
            <xdr:cNvPr id="0" name=""/>
            <xdr:cNvSpPr>
              <a:spLocks noTextEdit="1"/>
            </xdr:cNvSpPr>
          </xdr:nvSpPr>
          <xdr:spPr>
            <a:xfrm>
              <a:off x="9350375" y="47625"/>
              <a:ext cx="3333750" cy="1143000"/>
            </a:xfrm>
            <a:prstGeom prst="rect">
              <a:avLst/>
            </a:prstGeom>
            <a:solidFill>
              <a:prstClr val="white"/>
            </a:solidFill>
            <a:ln w="1">
              <a:solidFill>
                <a:prstClr val="green"/>
              </a:solidFill>
            </a:ln>
          </xdr:spPr>
          <xdr:txBody>
            <a:bodyPr vertOverflow="clip" horzOverflow="clip"/>
            <a:lstStyle/>
            <a:p>
              <a:r>
                <a:rPr lang="en-US" sz="1100"/>
                <a:t>Timeline: Works in Excel or higher. Do not move or resize.</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57151</xdr:colOff>
      <xdr:row>0</xdr:row>
      <xdr:rowOff>0</xdr:rowOff>
    </xdr:from>
    <xdr:to>
      <xdr:col>9</xdr:col>
      <xdr:colOff>95250</xdr:colOff>
      <xdr:row>20</xdr:row>
      <xdr:rowOff>95250</xdr:rowOff>
    </xdr:to>
    <xdr:graphicFrame macro="">
      <xdr:nvGraphicFramePr>
        <xdr:cNvPr id="2" name="Chart 1">
          <a:extLst>
            <a:ext uri="{FF2B5EF4-FFF2-40B4-BE49-F238E27FC236}">
              <a16:creationId xmlns:a16="http://schemas.microsoft.com/office/drawing/2014/main" id="{E23F0A2D-D083-4089-BF91-DC7DBFDD68C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9</xdr:col>
      <xdr:colOff>133350</xdr:colOff>
      <xdr:row>6</xdr:row>
      <xdr:rowOff>85726</xdr:rowOff>
    </xdr:from>
    <xdr:to>
      <xdr:col>12</xdr:col>
      <xdr:colOff>133350</xdr:colOff>
      <xdr:row>11</xdr:row>
      <xdr:rowOff>82550</xdr:rowOff>
    </xdr:to>
    <mc:AlternateContent xmlns:mc="http://schemas.openxmlformats.org/markup-compatibility/2006" xmlns:a14="http://schemas.microsoft.com/office/drawing/2010/main">
      <mc:Choice Requires="a14">
        <xdr:graphicFrame macro="">
          <xdr:nvGraphicFramePr>
            <xdr:cNvPr id="3" name="Type 2">
              <a:extLst>
                <a:ext uri="{FF2B5EF4-FFF2-40B4-BE49-F238E27FC236}">
                  <a16:creationId xmlns:a16="http://schemas.microsoft.com/office/drawing/2014/main" id="{0C774F87-6601-4E53-843F-2E46990A6281}"/>
                </a:ext>
              </a:extLst>
            </xdr:cNvPr>
            <xdr:cNvGraphicFramePr/>
          </xdr:nvGraphicFramePr>
          <xdr:xfrm>
            <a:off x="0" y="0"/>
            <a:ext cx="0" cy="0"/>
          </xdr:xfrm>
          <a:graphic>
            <a:graphicData uri="http://schemas.microsoft.com/office/drawing/2010/slicer">
              <sle:slicer xmlns:sle="http://schemas.microsoft.com/office/drawing/2010/slicer" name="Type 2"/>
            </a:graphicData>
          </a:graphic>
        </xdr:graphicFrame>
      </mc:Choice>
      <mc:Fallback xmlns="">
        <xdr:sp macro="" textlink="">
          <xdr:nvSpPr>
            <xdr:cNvPr id="0" name=""/>
            <xdr:cNvSpPr>
              <a:spLocks noTextEdit="1"/>
            </xdr:cNvSpPr>
          </xdr:nvSpPr>
          <xdr:spPr>
            <a:xfrm>
              <a:off x="7343775" y="1228726"/>
              <a:ext cx="1828800" cy="981074"/>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142875</xdr:colOff>
      <xdr:row>11</xdr:row>
      <xdr:rowOff>133350</xdr:rowOff>
    </xdr:from>
    <xdr:to>
      <xdr:col>12</xdr:col>
      <xdr:colOff>142875</xdr:colOff>
      <xdr:row>20</xdr:row>
      <xdr:rowOff>47625</xdr:rowOff>
    </xdr:to>
    <mc:AlternateContent xmlns:mc="http://schemas.openxmlformats.org/markup-compatibility/2006" xmlns:a14="http://schemas.microsoft.com/office/drawing/2010/main">
      <mc:Choice Requires="a14">
        <xdr:graphicFrame macro="">
          <xdr:nvGraphicFramePr>
            <xdr:cNvPr id="4" name="Item Description 2">
              <a:extLst>
                <a:ext uri="{FF2B5EF4-FFF2-40B4-BE49-F238E27FC236}">
                  <a16:creationId xmlns:a16="http://schemas.microsoft.com/office/drawing/2014/main" id="{689150FC-4037-4E8A-831B-EF929E6F0337}"/>
                </a:ext>
              </a:extLst>
            </xdr:cNvPr>
            <xdr:cNvGraphicFramePr/>
          </xdr:nvGraphicFramePr>
          <xdr:xfrm>
            <a:off x="0" y="0"/>
            <a:ext cx="0" cy="0"/>
          </xdr:xfrm>
          <a:graphic>
            <a:graphicData uri="http://schemas.microsoft.com/office/drawing/2010/slicer">
              <sle:slicer xmlns:sle="http://schemas.microsoft.com/office/drawing/2010/slicer" name="Item Description 2"/>
            </a:graphicData>
          </a:graphic>
        </xdr:graphicFrame>
      </mc:Choice>
      <mc:Fallback xmlns="">
        <xdr:sp macro="" textlink="">
          <xdr:nvSpPr>
            <xdr:cNvPr id="0" name=""/>
            <xdr:cNvSpPr>
              <a:spLocks noTextEdit="1"/>
            </xdr:cNvSpPr>
          </xdr:nvSpPr>
          <xdr:spPr>
            <a:xfrm>
              <a:off x="7353300" y="2228850"/>
              <a:ext cx="1828800" cy="166687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171450</xdr:colOff>
      <xdr:row>11</xdr:row>
      <xdr:rowOff>142875</xdr:rowOff>
    </xdr:from>
    <xdr:to>
      <xdr:col>15</xdr:col>
      <xdr:colOff>171450</xdr:colOff>
      <xdr:row>20</xdr:row>
      <xdr:rowOff>28574</xdr:rowOff>
    </xdr:to>
    <mc:AlternateContent xmlns:mc="http://schemas.openxmlformats.org/markup-compatibility/2006" xmlns:a14="http://schemas.microsoft.com/office/drawing/2010/main">
      <mc:Choice Requires="a14">
        <xdr:graphicFrame macro="">
          <xdr:nvGraphicFramePr>
            <xdr:cNvPr id="5" name="In&amp;Out Qty 2">
              <a:extLst>
                <a:ext uri="{FF2B5EF4-FFF2-40B4-BE49-F238E27FC236}">
                  <a16:creationId xmlns:a16="http://schemas.microsoft.com/office/drawing/2014/main" id="{31228EB4-6818-4B96-B8F5-3C7ED8E70454}"/>
                </a:ext>
              </a:extLst>
            </xdr:cNvPr>
            <xdr:cNvGraphicFramePr/>
          </xdr:nvGraphicFramePr>
          <xdr:xfrm>
            <a:off x="0" y="0"/>
            <a:ext cx="0" cy="0"/>
          </xdr:xfrm>
          <a:graphic>
            <a:graphicData uri="http://schemas.microsoft.com/office/drawing/2010/slicer">
              <sle:slicer xmlns:sle="http://schemas.microsoft.com/office/drawing/2010/slicer" name="In&amp;Out Qty 2"/>
            </a:graphicData>
          </a:graphic>
        </xdr:graphicFrame>
      </mc:Choice>
      <mc:Fallback xmlns="">
        <xdr:sp macro="" textlink="">
          <xdr:nvSpPr>
            <xdr:cNvPr id="0" name=""/>
            <xdr:cNvSpPr>
              <a:spLocks noTextEdit="1"/>
            </xdr:cNvSpPr>
          </xdr:nvSpPr>
          <xdr:spPr>
            <a:xfrm>
              <a:off x="9210675" y="2238375"/>
              <a:ext cx="1828800" cy="16382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152400</xdr:colOff>
      <xdr:row>6</xdr:row>
      <xdr:rowOff>76201</xdr:rowOff>
    </xdr:from>
    <xdr:to>
      <xdr:col>15</xdr:col>
      <xdr:colOff>152400</xdr:colOff>
      <xdr:row>11</xdr:row>
      <xdr:rowOff>63500</xdr:rowOff>
    </xdr:to>
    <mc:AlternateContent xmlns:mc="http://schemas.openxmlformats.org/markup-compatibility/2006" xmlns:a14="http://schemas.microsoft.com/office/drawing/2010/main">
      <mc:Choice Requires="a14">
        <xdr:graphicFrame macro="">
          <xdr:nvGraphicFramePr>
            <xdr:cNvPr id="6" name="Department 2">
              <a:extLst>
                <a:ext uri="{FF2B5EF4-FFF2-40B4-BE49-F238E27FC236}">
                  <a16:creationId xmlns:a16="http://schemas.microsoft.com/office/drawing/2014/main" id="{52C8FA10-7F2C-446D-A52D-669A2C33BC9F}"/>
                </a:ext>
              </a:extLst>
            </xdr:cNvPr>
            <xdr:cNvGraphicFramePr/>
          </xdr:nvGraphicFramePr>
          <xdr:xfrm>
            <a:off x="0" y="0"/>
            <a:ext cx="0" cy="0"/>
          </xdr:xfrm>
          <a:graphic>
            <a:graphicData uri="http://schemas.microsoft.com/office/drawing/2010/slicer">
              <sle:slicer xmlns:sle="http://schemas.microsoft.com/office/drawing/2010/slicer" name="Department 2"/>
            </a:graphicData>
          </a:graphic>
        </xdr:graphicFrame>
      </mc:Choice>
      <mc:Fallback xmlns="">
        <xdr:sp macro="" textlink="">
          <xdr:nvSpPr>
            <xdr:cNvPr id="0" name=""/>
            <xdr:cNvSpPr>
              <a:spLocks noTextEdit="1"/>
            </xdr:cNvSpPr>
          </xdr:nvSpPr>
          <xdr:spPr>
            <a:xfrm>
              <a:off x="9191625" y="1219201"/>
              <a:ext cx="1828800" cy="97154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142874</xdr:colOff>
      <xdr:row>0</xdr:row>
      <xdr:rowOff>19050</xdr:rowOff>
    </xdr:from>
    <xdr:to>
      <xdr:col>15</xdr:col>
      <xdr:colOff>133349</xdr:colOff>
      <xdr:row>6</xdr:row>
      <xdr:rowOff>25400</xdr:rowOff>
    </xdr:to>
    <mc:AlternateContent xmlns:mc="http://schemas.openxmlformats.org/markup-compatibility/2006" xmlns:tsle="http://schemas.microsoft.com/office/drawing/2012/timeslicer">
      <mc:Choice Requires="tsle">
        <xdr:graphicFrame macro="">
          <xdr:nvGraphicFramePr>
            <xdr:cNvPr id="7" name="Date 3">
              <a:extLst>
                <a:ext uri="{FF2B5EF4-FFF2-40B4-BE49-F238E27FC236}">
                  <a16:creationId xmlns:a16="http://schemas.microsoft.com/office/drawing/2014/main" id="{531D1A58-257B-4FA4-A220-D2AE5A3BC022}"/>
                </a:ext>
              </a:extLst>
            </xdr:cNvPr>
            <xdr:cNvGraphicFramePr/>
          </xdr:nvGraphicFramePr>
          <xdr:xfrm>
            <a:off x="0" y="0"/>
            <a:ext cx="0" cy="0"/>
          </xdr:xfrm>
          <a:graphic>
            <a:graphicData uri="http://schemas.microsoft.com/office/drawing/2012/timeslicer">
              <tsle:timeslicer name="Date 3"/>
            </a:graphicData>
          </a:graphic>
        </xdr:graphicFrame>
      </mc:Choice>
      <mc:Fallback xmlns="">
        <xdr:sp macro="" textlink="">
          <xdr:nvSpPr>
            <xdr:cNvPr id="0" name=""/>
            <xdr:cNvSpPr>
              <a:spLocks noTextEdit="1"/>
            </xdr:cNvSpPr>
          </xdr:nvSpPr>
          <xdr:spPr>
            <a:xfrm>
              <a:off x="8124824" y="19050"/>
              <a:ext cx="3648075" cy="1181100"/>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3</xdr:col>
      <xdr:colOff>104774</xdr:colOff>
      <xdr:row>7</xdr:row>
      <xdr:rowOff>57151</xdr:rowOff>
    </xdr:from>
    <xdr:to>
      <xdr:col>6</xdr:col>
      <xdr:colOff>95249</xdr:colOff>
      <xdr:row>12</xdr:row>
      <xdr:rowOff>9526</xdr:rowOff>
    </xdr:to>
    <mc:AlternateContent xmlns:mc="http://schemas.openxmlformats.org/markup-compatibility/2006" xmlns:a14="http://schemas.microsoft.com/office/drawing/2010/main">
      <mc:Choice Requires="a14">
        <xdr:graphicFrame macro="">
          <xdr:nvGraphicFramePr>
            <xdr:cNvPr id="2" name="Type 3">
              <a:extLst>
                <a:ext uri="{FF2B5EF4-FFF2-40B4-BE49-F238E27FC236}">
                  <a16:creationId xmlns:a16="http://schemas.microsoft.com/office/drawing/2014/main" id="{A5C56EF1-731A-48A3-A8A6-6952D1F673F2}"/>
                </a:ext>
              </a:extLst>
            </xdr:cNvPr>
            <xdr:cNvGraphicFramePr/>
          </xdr:nvGraphicFramePr>
          <xdr:xfrm>
            <a:off x="0" y="0"/>
            <a:ext cx="0" cy="0"/>
          </xdr:xfrm>
          <a:graphic>
            <a:graphicData uri="http://schemas.microsoft.com/office/drawing/2010/slicer">
              <sle:slicer xmlns:sle="http://schemas.microsoft.com/office/drawing/2010/slicer" name="Type 3"/>
            </a:graphicData>
          </a:graphic>
        </xdr:graphicFrame>
      </mc:Choice>
      <mc:Fallback xmlns="">
        <xdr:sp macro="" textlink="">
          <xdr:nvSpPr>
            <xdr:cNvPr id="0" name=""/>
            <xdr:cNvSpPr>
              <a:spLocks noTextEdit="1"/>
            </xdr:cNvSpPr>
          </xdr:nvSpPr>
          <xdr:spPr>
            <a:xfrm>
              <a:off x="5153024" y="1457326"/>
              <a:ext cx="1933575" cy="9525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76200</xdr:colOff>
      <xdr:row>12</xdr:row>
      <xdr:rowOff>133351</xdr:rowOff>
    </xdr:from>
    <xdr:to>
      <xdr:col>6</xdr:col>
      <xdr:colOff>57150</xdr:colOff>
      <xdr:row>21</xdr:row>
      <xdr:rowOff>69851</xdr:rowOff>
    </xdr:to>
    <mc:AlternateContent xmlns:mc="http://schemas.openxmlformats.org/markup-compatibility/2006" xmlns:a14="http://schemas.microsoft.com/office/drawing/2010/main">
      <mc:Choice Requires="a14">
        <xdr:graphicFrame macro="">
          <xdr:nvGraphicFramePr>
            <xdr:cNvPr id="4" name="Item Description 3">
              <a:extLst>
                <a:ext uri="{FF2B5EF4-FFF2-40B4-BE49-F238E27FC236}">
                  <a16:creationId xmlns:a16="http://schemas.microsoft.com/office/drawing/2014/main" id="{6920E8F1-CF85-4C11-88E3-A9FA715E8071}"/>
                </a:ext>
              </a:extLst>
            </xdr:cNvPr>
            <xdr:cNvGraphicFramePr/>
          </xdr:nvGraphicFramePr>
          <xdr:xfrm>
            <a:off x="0" y="0"/>
            <a:ext cx="0" cy="0"/>
          </xdr:xfrm>
          <a:graphic>
            <a:graphicData uri="http://schemas.microsoft.com/office/drawing/2010/slicer">
              <sle:slicer xmlns:sle="http://schemas.microsoft.com/office/drawing/2010/slicer" name="Item Description 3"/>
            </a:graphicData>
          </a:graphic>
        </xdr:graphicFrame>
      </mc:Choice>
      <mc:Fallback xmlns="">
        <xdr:sp macro="" textlink="">
          <xdr:nvSpPr>
            <xdr:cNvPr id="0" name=""/>
            <xdr:cNvSpPr>
              <a:spLocks noTextEdit="1"/>
            </xdr:cNvSpPr>
          </xdr:nvSpPr>
          <xdr:spPr>
            <a:xfrm>
              <a:off x="5124450" y="2533651"/>
              <a:ext cx="1924050" cy="173355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238125</xdr:colOff>
      <xdr:row>12</xdr:row>
      <xdr:rowOff>133350</xdr:rowOff>
    </xdr:from>
    <xdr:to>
      <xdr:col>9</xdr:col>
      <xdr:colOff>238125</xdr:colOff>
      <xdr:row>21</xdr:row>
      <xdr:rowOff>60325</xdr:rowOff>
    </xdr:to>
    <mc:AlternateContent xmlns:mc="http://schemas.openxmlformats.org/markup-compatibility/2006" xmlns:a14="http://schemas.microsoft.com/office/drawing/2010/main">
      <mc:Choice Requires="a14">
        <xdr:graphicFrame macro="">
          <xdr:nvGraphicFramePr>
            <xdr:cNvPr id="5" name="In&amp;Out Qty 3">
              <a:extLst>
                <a:ext uri="{FF2B5EF4-FFF2-40B4-BE49-F238E27FC236}">
                  <a16:creationId xmlns:a16="http://schemas.microsoft.com/office/drawing/2014/main" id="{D7BD2A5D-13F7-4D21-B0A3-F4F52F5C2857}"/>
                </a:ext>
              </a:extLst>
            </xdr:cNvPr>
            <xdr:cNvGraphicFramePr/>
          </xdr:nvGraphicFramePr>
          <xdr:xfrm>
            <a:off x="0" y="0"/>
            <a:ext cx="0" cy="0"/>
          </xdr:xfrm>
          <a:graphic>
            <a:graphicData uri="http://schemas.microsoft.com/office/drawing/2010/slicer">
              <sle:slicer xmlns:sle="http://schemas.microsoft.com/office/drawing/2010/slicer" name="In&amp;Out Qty 3"/>
            </a:graphicData>
          </a:graphic>
        </xdr:graphicFrame>
      </mc:Choice>
      <mc:Fallback xmlns="">
        <xdr:sp macro="" textlink="">
          <xdr:nvSpPr>
            <xdr:cNvPr id="0" name=""/>
            <xdr:cNvSpPr>
              <a:spLocks noTextEdit="1"/>
            </xdr:cNvSpPr>
          </xdr:nvSpPr>
          <xdr:spPr>
            <a:xfrm>
              <a:off x="6896100" y="2533650"/>
              <a:ext cx="1828800" cy="1724025"/>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6</xdr:col>
      <xdr:colOff>238125</xdr:colOff>
      <xdr:row>7</xdr:row>
      <xdr:rowOff>161926</xdr:rowOff>
    </xdr:from>
    <xdr:to>
      <xdr:col>9</xdr:col>
      <xdr:colOff>238125</xdr:colOff>
      <xdr:row>12</xdr:row>
      <xdr:rowOff>76201</xdr:rowOff>
    </xdr:to>
    <mc:AlternateContent xmlns:mc="http://schemas.openxmlformats.org/markup-compatibility/2006" xmlns:a14="http://schemas.microsoft.com/office/drawing/2010/main">
      <mc:Choice Requires="a14">
        <xdr:graphicFrame macro="">
          <xdr:nvGraphicFramePr>
            <xdr:cNvPr id="6" name="Department 3">
              <a:extLst>
                <a:ext uri="{FF2B5EF4-FFF2-40B4-BE49-F238E27FC236}">
                  <a16:creationId xmlns:a16="http://schemas.microsoft.com/office/drawing/2014/main" id="{042176E3-1489-49B9-9CBC-13186E63C0CF}"/>
                </a:ext>
              </a:extLst>
            </xdr:cNvPr>
            <xdr:cNvGraphicFramePr/>
          </xdr:nvGraphicFramePr>
          <xdr:xfrm>
            <a:off x="0" y="0"/>
            <a:ext cx="0" cy="0"/>
          </xdr:xfrm>
          <a:graphic>
            <a:graphicData uri="http://schemas.microsoft.com/office/drawing/2010/slicer">
              <sle:slicer xmlns:sle="http://schemas.microsoft.com/office/drawing/2010/slicer" name="Department 3"/>
            </a:graphicData>
          </a:graphic>
        </xdr:graphicFrame>
      </mc:Choice>
      <mc:Fallback xmlns="">
        <xdr:sp macro="" textlink="">
          <xdr:nvSpPr>
            <xdr:cNvPr id="0" name=""/>
            <xdr:cNvSpPr>
              <a:spLocks noTextEdit="1"/>
            </xdr:cNvSpPr>
          </xdr:nvSpPr>
          <xdr:spPr>
            <a:xfrm>
              <a:off x="7229475" y="1562101"/>
              <a:ext cx="1828800" cy="9144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xdr:col>
      <xdr:colOff>123824</xdr:colOff>
      <xdr:row>1</xdr:row>
      <xdr:rowOff>19050</xdr:rowOff>
    </xdr:from>
    <xdr:to>
      <xdr:col>9</xdr:col>
      <xdr:colOff>114299</xdr:colOff>
      <xdr:row>6</xdr:row>
      <xdr:rowOff>171450</xdr:rowOff>
    </xdr:to>
    <mc:AlternateContent xmlns:mc="http://schemas.openxmlformats.org/markup-compatibility/2006" xmlns:tsle="http://schemas.microsoft.com/office/drawing/2012/timeslicer">
      <mc:Choice Requires="tsle">
        <xdr:graphicFrame macro="">
          <xdr:nvGraphicFramePr>
            <xdr:cNvPr id="7" name="Date 1">
              <a:extLst>
                <a:ext uri="{FF2B5EF4-FFF2-40B4-BE49-F238E27FC236}">
                  <a16:creationId xmlns:a16="http://schemas.microsoft.com/office/drawing/2014/main" id="{B6C193AF-5486-4110-BFC4-EE93EAD4A325}"/>
                </a:ext>
              </a:extLst>
            </xdr:cNvPr>
            <xdr:cNvGraphicFramePr/>
          </xdr:nvGraphicFramePr>
          <xdr:xfrm>
            <a:off x="0" y="0"/>
            <a:ext cx="0" cy="0"/>
          </xdr:xfrm>
          <a:graphic>
            <a:graphicData uri="http://schemas.microsoft.com/office/drawing/2012/timeslicer">
              <tsle:timeslicer name="Date 1"/>
            </a:graphicData>
          </a:graphic>
        </xdr:graphicFrame>
      </mc:Choice>
      <mc:Fallback xmlns="">
        <xdr:sp macro="" textlink="">
          <xdr:nvSpPr>
            <xdr:cNvPr id="0" name=""/>
            <xdr:cNvSpPr>
              <a:spLocks noTextEdit="1"/>
            </xdr:cNvSpPr>
          </xdr:nvSpPr>
          <xdr:spPr>
            <a:xfrm>
              <a:off x="5172074" y="219075"/>
              <a:ext cx="3762375" cy="1152525"/>
            </a:xfrm>
            <a:prstGeom prst="rect">
              <a:avLst/>
            </a:prstGeom>
            <a:solidFill>
              <a:prstClr val="white"/>
            </a:solidFill>
            <a:ln w="1">
              <a:solidFill>
                <a:prstClr val="green"/>
              </a:solidFill>
            </a:ln>
          </xdr:spPr>
          <xdr:txBody>
            <a:bodyPr vertOverflow="clip" horzOverflow="clip"/>
            <a:lstStyle/>
            <a:p>
              <a:r>
                <a:rPr lang="en-GB" sz="1100"/>
                <a:t>Timeline: Works in Excel 2013 or higher. Do not move or resize.</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0</xdr:col>
      <xdr:colOff>0</xdr:colOff>
      <xdr:row>0</xdr:row>
      <xdr:rowOff>19049</xdr:rowOff>
    </xdr:from>
    <xdr:to>
      <xdr:col>7</xdr:col>
      <xdr:colOff>352424</xdr:colOff>
      <xdr:row>23</xdr:row>
      <xdr:rowOff>19049</xdr:rowOff>
    </xdr:to>
    <xdr:graphicFrame macro="">
      <xdr:nvGraphicFramePr>
        <xdr:cNvPr id="2" name="Chart 1">
          <a:extLst>
            <a:ext uri="{FF2B5EF4-FFF2-40B4-BE49-F238E27FC236}">
              <a16:creationId xmlns:a16="http://schemas.microsoft.com/office/drawing/2014/main" id="{FC200C25-A339-48A6-AF97-D3C089CB90D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17</xdr:col>
      <xdr:colOff>358378</xdr:colOff>
      <xdr:row>0</xdr:row>
      <xdr:rowOff>0</xdr:rowOff>
    </xdr:from>
    <xdr:to>
      <xdr:col>28</xdr:col>
      <xdr:colOff>65485</xdr:colOff>
      <xdr:row>23</xdr:row>
      <xdr:rowOff>9524</xdr:rowOff>
    </xdr:to>
    <xdr:graphicFrame macro="">
      <xdr:nvGraphicFramePr>
        <xdr:cNvPr id="7" name="Chart 6">
          <a:extLst>
            <a:ext uri="{FF2B5EF4-FFF2-40B4-BE49-F238E27FC236}">
              <a16:creationId xmlns:a16="http://schemas.microsoft.com/office/drawing/2014/main" id="{9EC677E4-0FB3-4FA3-8C19-AF5F81F7578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28</xdr:col>
      <xdr:colOff>83345</xdr:colOff>
      <xdr:row>0</xdr:row>
      <xdr:rowOff>7143</xdr:rowOff>
    </xdr:from>
    <xdr:to>
      <xdr:col>38</xdr:col>
      <xdr:colOff>197645</xdr:colOff>
      <xdr:row>23</xdr:row>
      <xdr:rowOff>16667</xdr:rowOff>
    </xdr:to>
    <xdr:graphicFrame macro="">
      <xdr:nvGraphicFramePr>
        <xdr:cNvPr id="8" name="Chart 7">
          <a:extLst>
            <a:ext uri="{FF2B5EF4-FFF2-40B4-BE49-F238E27FC236}">
              <a16:creationId xmlns:a16="http://schemas.microsoft.com/office/drawing/2014/main" id="{E34AD8B3-A605-44D4-BB75-B80E233E18A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373855</xdr:colOff>
      <xdr:row>0</xdr:row>
      <xdr:rowOff>7143</xdr:rowOff>
    </xdr:from>
    <xdr:to>
      <xdr:col>17</xdr:col>
      <xdr:colOff>340519</xdr:colOff>
      <xdr:row>23</xdr:row>
      <xdr:rowOff>16667</xdr:rowOff>
    </xdr:to>
    <xdr:graphicFrame macro="">
      <xdr:nvGraphicFramePr>
        <xdr:cNvPr id="9" name="Chart 8">
          <a:extLst>
            <a:ext uri="{FF2B5EF4-FFF2-40B4-BE49-F238E27FC236}">
              <a16:creationId xmlns:a16="http://schemas.microsoft.com/office/drawing/2014/main" id="{E16E4CEB-C97D-41A2-9E08-9786BF7155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3.xml"/></Relationships>
</file>

<file path=xl/pivotCache/_rels/pivotCacheDefinition4.xml.rels><?xml version="1.0" encoding="UTF-8" standalone="yes"?>
<Relationships xmlns="http://schemas.openxmlformats.org/package/2006/relationships"><Relationship Id="rId1" Type="http://schemas.openxmlformats.org/officeDocument/2006/relationships/pivotCacheRecords" Target="pivotCacheRecords4.xml"/></Relationships>
</file>

<file path=xl/pivotCache/pivotCacheDefinition1.xml><?xml version="1.0" encoding="utf-8"?>
<pivotCacheDefinition xmlns="http://schemas.openxmlformats.org/spreadsheetml/2006/main" xmlns:r="http://schemas.openxmlformats.org/officeDocument/2006/relationships" r:id="rId1" refreshedBy="Roy" refreshedDate="45926.769192708336" createdVersion="6" refreshedVersion="6" minRefreshableVersion="3" recordCount="9">
  <cacheSource type="worksheet">
    <worksheetSource name="ComputerStoreUnitsTable"/>
  </cacheSource>
  <cacheFields count="9">
    <cacheField name="Date" numFmtId="14">
      <sharedItems containsNonDate="0" containsDate="1" containsString="0" containsBlank="1" minDate="2025-09-28T00:00:00" maxDate="2025-09-29T00:00:00" count="2">
        <d v="2025-09-28T00:00:00"/>
        <m/>
      </sharedItems>
    </cacheField>
    <cacheField name="Document No" numFmtId="0">
      <sharedItems containsString="0" containsBlank="1" containsNumber="1" containsInteger="1" minValue="4900056778" maxValue="4900056778"/>
    </cacheField>
    <cacheField name="Type" numFmtId="0">
      <sharedItems containsBlank="1" count="2">
        <s v="Issue"/>
        <m/>
      </sharedItems>
    </cacheField>
    <cacheField name="Material No" numFmtId="0">
      <sharedItems containsString="0" containsBlank="1" containsNumber="1" containsInteger="1" minValue="100172" maxValue="100172"/>
    </cacheField>
    <cacheField name="Item Description" numFmtId="0">
      <sharedItems count="2">
        <s v="1 Part Statement Paper"/>
        <s v=""/>
      </sharedItems>
    </cacheField>
    <cacheField name="Unit of Issue" numFmtId="0">
      <sharedItems containsBlank="1" count="4">
        <s v="PCS"/>
        <s v=""/>
        <m u="1"/>
        <s v="EA" u="1"/>
      </sharedItems>
    </cacheField>
    <cacheField name="In&amp;Out Qty" numFmtId="0">
      <sharedItems containsString="0" containsBlank="1" containsNumber="1" containsInteger="1" minValue="1000" maxValue="1000"/>
    </cacheField>
    <cacheField name="Department" numFmtId="0">
      <sharedItems containsBlank="1" count="2">
        <s v="ISIOLO"/>
        <m/>
      </sharedItems>
    </cacheField>
    <cacheField name="Running Balance" numFmtId="0">
      <sharedItems containsSemiMixedTypes="0" containsString="0" containsNumber="1" containsInteger="1" minValue="-1000" maxValue="0"/>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r:id="rId1" refreshedBy="Roy" refreshedDate="45926.769192824075" createdVersion="6" refreshedVersion="6" minRefreshableVersion="3" recordCount="9">
  <cacheSource type="worksheet">
    <worksheetSource name="MAINTENANCEUnitsTable"/>
  </cacheSource>
  <cacheFields count="9">
    <cacheField name="Date" numFmtId="14">
      <sharedItems containsNonDate="0" containsString="0" containsBlank="1" count="1">
        <m/>
      </sharedItems>
    </cacheField>
    <cacheField name="Document No" numFmtId="0">
      <sharedItems containsNonDate="0" containsString="0" containsBlank="1"/>
    </cacheField>
    <cacheField name="Type" numFmtId="0">
      <sharedItems containsBlank="1" count="2">
        <s v="Issue"/>
        <m/>
      </sharedItems>
    </cacheField>
    <cacheField name="Material No" numFmtId="0">
      <sharedItems containsString="0" containsBlank="1" containsNumber="1" containsInteger="1" minValue="105" maxValue="105"/>
    </cacheField>
    <cacheField name="Item Description" numFmtId="0">
      <sharedItems count="3">
        <s v="Data Cabinet"/>
        <s v=""/>
        <s v="Air Freshener" u="1"/>
      </sharedItems>
    </cacheField>
    <cacheField name="Unit of Issue" numFmtId="0">
      <sharedItems/>
    </cacheField>
    <cacheField name="In&amp;Out Qty" numFmtId="0">
      <sharedItems containsString="0" containsBlank="1" containsNumber="1" containsInteger="1" minValue="20" maxValue="20"/>
    </cacheField>
    <cacheField name="Department" numFmtId="0">
      <sharedItems containsBlank="1" count="2">
        <s v="NAROK"/>
        <m/>
      </sharedItems>
    </cacheField>
    <cacheField name="Running Balance" numFmtId="0">
      <sharedItems containsSemiMixedTypes="0" containsString="0" containsNumber="1" containsInteger="1" minValue="-20" maxValue="0"/>
    </cacheField>
  </cacheFields>
  <extLst>
    <ext xmlns:x14="http://schemas.microsoft.com/office/spreadsheetml/2009/9/main" uri="{725AE2AE-9491-48be-B2B4-4EB974FC3084}">
      <x14:pivotCacheDefinition/>
    </ext>
  </extLst>
</pivotCacheDefinition>
</file>

<file path=xl/pivotCache/pivotCacheDefinition3.xml><?xml version="1.0" encoding="utf-8"?>
<pivotCacheDefinition xmlns="http://schemas.openxmlformats.org/spreadsheetml/2006/main" xmlns:r="http://schemas.openxmlformats.org/officeDocument/2006/relationships" r:id="rId1" refreshedBy="Roy" refreshedDate="45926.769193055552" createdVersion="6" refreshedVersion="6" minRefreshableVersion="3" recordCount="3">
  <cacheSource type="worksheet">
    <worksheetSource name="Table5"/>
  </cacheSource>
  <cacheFields count="3">
    <cacheField name="Store" numFmtId="0">
      <sharedItems count="5">
        <s v="SF"/>
        <s v="Computer"/>
        <s v="Maintenance"/>
        <s v="Stationery" u="1"/>
        <s v="Total" u="1"/>
      </sharedItems>
    </cacheField>
    <cacheField name="Value of Deficiency" numFmtId="0">
      <sharedItems containsMixedTypes="1" containsNumber="1" containsInteger="1" minValue="0" maxValue="82031" count="28">
        <e v="#VALUE!"/>
        <e v="#N/A"/>
        <n v="0" u="1"/>
        <n v="5391" u="1"/>
        <n v="53880" u="1"/>
        <n v="813" u="1"/>
        <n v="9705" u="1"/>
        <n v="36" u="1"/>
        <n v="1000" u="1"/>
        <n v="5013" u="1"/>
        <n v="2872" u="1"/>
        <n v="8391" u="1"/>
        <n v="48065" u="1"/>
        <n v="61129" u="1"/>
        <n v="773" u="1"/>
        <n v="56796" u="1"/>
        <n v="766" u="1"/>
        <n v="61227" u="1"/>
        <n v="778" u="1"/>
        <n v="448" u="1"/>
        <n v="1" u="1"/>
        <n v="82031" u="1"/>
        <n v="11751" u="1"/>
        <n v="48075" u="1"/>
        <n v="60438" u="1"/>
        <n v="55224" u="1"/>
        <n v="347" u="1"/>
        <n v="4" u="1"/>
      </sharedItems>
    </cacheField>
    <cacheField name="Value of Surplus" numFmtId="0">
      <sharedItems containsMixedTypes="1" containsNumber="1" containsInteger="1" minValue="0" maxValue="800463" count="27">
        <e v="#VALUE!"/>
        <e v="#N/A"/>
        <n v="0" u="1"/>
        <n v="800463" u="1"/>
        <n v="210991" u="1"/>
        <n v="690" u="1"/>
        <n v="8000" u="1"/>
        <n v="24476" u="1"/>
        <n v="605" u="1"/>
        <n v="108233" u="1"/>
        <n v="342102" u="1"/>
        <n v="2023" u="1"/>
        <n v="177616" u="1"/>
        <n v="186074" u="1"/>
        <n v="170632" u="1"/>
        <n v="1" u="1"/>
        <n v="977" u="1"/>
        <n v="188383" u="1"/>
        <n v="21398" u="1"/>
        <n v="39218" u="1"/>
        <n v="9488" u="1"/>
        <n v="86940" u="1"/>
        <n v="21498" u="1"/>
        <n v="21518" u="1"/>
        <n v="2445" u="1"/>
        <n v="575" u="1"/>
        <n v="108227" u="1"/>
      </sharedItems>
    </cacheField>
  </cacheFields>
  <extLst>
    <ext xmlns:x14="http://schemas.microsoft.com/office/spreadsheetml/2009/9/main" uri="{725AE2AE-9491-48be-B2B4-4EB974FC3084}">
      <x14:pivotCacheDefinition pivotCacheId="1332414073"/>
    </ext>
  </extLst>
</pivotCacheDefinition>
</file>

<file path=xl/pivotCache/pivotCacheDefinition4.xml><?xml version="1.0" encoding="utf-8"?>
<pivotCacheDefinition xmlns="http://schemas.openxmlformats.org/spreadsheetml/2006/main" xmlns:r="http://schemas.openxmlformats.org/officeDocument/2006/relationships" r:id="rId1" refreshedBy="Roy" refreshedDate="45926.76919363426" createdVersion="8" refreshedVersion="6" minRefreshableVersion="3" recordCount="121">
  <cacheSource type="worksheet">
    <worksheetSource name="UnitsTable"/>
  </cacheSource>
  <cacheFields count="9">
    <cacheField name="Date" numFmtId="14">
      <sharedItems containsSemiMixedTypes="0" containsNonDate="0" containsDate="1" containsString="0" minDate="2025-07-04T00:00:00" maxDate="2025-07-25T00:00:00" count="13">
        <d v="2025-07-04T00:00:00"/>
        <d v="2025-07-08T00:00:00"/>
        <d v="2025-07-09T00:00:00"/>
        <d v="2025-07-11T00:00:00"/>
        <d v="2025-07-14T00:00:00"/>
        <d v="2025-07-15T00:00:00"/>
        <d v="2025-07-16T00:00:00"/>
        <d v="2025-07-17T00:00:00"/>
        <d v="2025-07-18T00:00:00"/>
        <d v="2025-07-21T00:00:00"/>
        <d v="2025-07-22T00:00:00"/>
        <d v="2025-07-23T00:00:00"/>
        <d v="2025-07-24T00:00:00"/>
      </sharedItems>
    </cacheField>
    <cacheField name="Document No" numFmtId="0">
      <sharedItems containsSemiMixedTypes="0" containsString="0" containsNumber="1" containsInteger="1" minValue="490002787" maxValue="4900027468"/>
    </cacheField>
    <cacheField name="Type" numFmtId="0">
      <sharedItems containsBlank="1" count="4">
        <s v="Issue"/>
        <s v="Receipt"/>
        <m u="1"/>
        <s v="Loaned" u="1"/>
      </sharedItems>
    </cacheField>
    <cacheField name="Material No" numFmtId="0">
      <sharedItems containsSemiMixedTypes="0" containsString="0" containsNumber="1" containsInteger="1" minValue="100122" maxValue="100221"/>
    </cacheField>
    <cacheField name="Item Description" numFmtId="0">
      <sharedItems containsBlank="1" count="51">
        <s v="Laminating Pouches"/>
        <s v="Payment of Benefit Forms/004"/>
        <s v="App. For Employer SF/001"/>
        <s v="Ben. App. Forms SF/001"/>
        <s v="Fingerprint Forms SF/003"/>
        <s v="Membership Cards (Blank)"/>
        <s v="Schedule of Contribution"/>
        <s v="Survivor Ben. Form"/>
        <s v="Registration Gen. Folders"/>
        <s v="Funeral Grant Forms 006"/>
        <s v="Envelopes A4"/>
        <s v="Envelopes A5"/>
        <s v="Emigration Benefit Folders"/>
        <s v="Envelopes A3 (16*12) White"/>
        <s v="Finance Account Folders"/>
        <s v="" u="1"/>
        <m u="1"/>
        <s v="Plastic Bags A4" u="1"/>
        <s v="Single Socket" u="1"/>
        <s v="Kyocera Ecosys 3060-9X4BO47" u="1"/>
        <s v="Withdrawal Ben. Folders" u="1"/>
        <s v="Liquid Detergent" u="1"/>
        <s v="4-80 Starters" u="1"/>
        <s v="1 Part Statement Paper" u="1"/>
        <s v="2 PP NCR Carbonated" u="1"/>
        <s v="Invalidity Ben. Forms/002" u="1"/>
        <s v="Vim Powder" u="1"/>
        <s v="Survivor Funeral Grant Folders" u="1"/>
        <s v="P-36 Tubes" u="1"/>
        <s v="Mortice Locks (Union)" u="1"/>
        <s v="HP Laserjet Tonner 237A Black" u="1"/>
        <s v="Confidential Folders Pink" u="1"/>
        <s v="2-feet LED Tubes" u="1"/>
        <s v="Epson Ribbon LQ 690 (Black)" u="1"/>
        <s v="Super Brites" u="1"/>
        <s v="Tissue Papers" u="1"/>
        <s v="Tonner CE 255A (Black)" u="1"/>
        <s v="Mutton Cloth" u="1"/>
        <s v="Air Freshener" u="1"/>
        <s v="Administration Folders" u="1"/>
        <s v="Age Benefit Folders" u="1"/>
        <s v="Tonner Kyocera TK 8517Y (Yellow) 4053" u="1"/>
        <s v="A3 Security Envelopes" u="1"/>
        <s v="Harpic" u="1"/>
        <s v="Application for Employment" u="1"/>
        <s v="Tonner Kyocera 4053A (Magenta) 8517m" u="1"/>
        <s v="Empty Cartons" u="1"/>
        <s v="Pledge Spray" u="1"/>
        <s v="Window Cleaner" u="1"/>
        <s v="Plastic Bags A3" u="1"/>
        <s v="Bar Soaps" u="1"/>
      </sharedItems>
    </cacheField>
    <cacheField name="Unit of Issue" numFmtId="0">
      <sharedItems containsBlank="1" count="7">
        <s v="PCS"/>
        <s v="" u="1"/>
        <m u="1"/>
        <s v="NO" u="1"/>
        <s v="PC" u="1"/>
        <s v="ROLL" u="1"/>
        <s v="EA" u="1"/>
      </sharedItems>
    </cacheField>
    <cacheField name="In&amp;Out Qty" numFmtId="0">
      <sharedItems containsSemiMixedTypes="0" containsString="0" containsNumber="1" containsInteger="1" minValue="1" maxValue="30000" count="38">
        <n v="100"/>
        <n v="500"/>
        <n v="300"/>
        <n v="3000"/>
        <n v="1000"/>
        <n v="200"/>
        <n v="2000"/>
        <n v="400"/>
        <n v="150"/>
        <n v="80"/>
        <n v="4000"/>
        <n v="60"/>
        <n v="50"/>
        <n v="10"/>
        <n v="20"/>
        <n v="6000"/>
        <n v="34" u="1"/>
        <n v="600" u="1"/>
        <n v="800" u="1"/>
        <n v="5" u="1"/>
        <n v="14" u="1"/>
        <n v="40" u="1"/>
        <n v="5000" u="1"/>
        <n v="120" u="1"/>
        <n v="2" u="1"/>
        <n v="46" u="1"/>
        <n v="6" u="1"/>
        <n v="52" u="1"/>
        <n v="7" u="1"/>
        <n v="56" u="1"/>
        <n v="1" u="1"/>
        <n v="3" u="1"/>
        <n v="24" u="1"/>
        <n v="30000" u="1"/>
        <n v="1200" u="1"/>
        <n v="122" u="1"/>
        <n v="30" u="1"/>
        <n v="4" u="1"/>
      </sharedItems>
    </cacheField>
    <cacheField name="Department" numFmtId="0">
      <sharedItems containsBlank="1" count="75">
        <s v="KIAMBU"/>
        <s v="KAKAMEGA"/>
        <s v="ELDORET"/>
        <s v="MOMBASA"/>
        <s v="CITY CENTRE"/>
        <s v="MTWAPA"/>
        <s v="FINANCE"/>
        <s v="HOMABAY"/>
        <s v="KITENGELA"/>
        <s v="STRATEGY &amp; CHANGE"/>
        <s v="THIKA"/>
        <s v="REGISTRATION &amp; COMPLIANCE"/>
        <s v="GM HR/ADM"/>
        <s v="HUMAN CAPITAL/HR"/>
        <s v="HR TALENT ACQUISITION"/>
        <s v="PROPERTY DEVELOPMENT"/>
        <s v="ETHICS &amp; INTEGRITY"/>
        <s v="PROPERTY MANAGEMENT"/>
        <s v="INVESTMENTS"/>
        <s v="UKUNDA"/>
        <s v="EASTLEIGH"/>
        <s v="INDUSTRIAL AREA"/>
        <s v="MACHAKOS"/>
        <s v="WESTLANDS"/>
        <s v="DONHOLM"/>
        <s v="ADMINISTRATION"/>
        <s v="NAKURU"/>
        <s v="HILL BRANCH"/>
        <s v="KITUI"/>
        <s v="MEMBER RECORDS"/>
        <s v="RISK MANAGEMENT"/>
        <m u="1"/>
        <s v="LEGAL" u="1"/>
        <s v="KITALE" u="1"/>
        <s v="MALINDI" u="1"/>
        <s v="SECURITY" u="1"/>
        <s v="SCM" u="1"/>
        <s v="NANDI HILLS" u="1"/>
        <s v="PROPERTY DEV" u="1"/>
        <s v="GM F&amp;I" u="1"/>
        <s v="MSC" u="1"/>
        <s v="BUSIA" u="1"/>
        <s v="PR" u="1"/>
        <s v="HR" u="1"/>
        <s v="SF" u="1"/>
        <s v="GMHR &amp; ADMIN" u="1"/>
        <s v="VIHIGA" u="1"/>
        <s v="RECORDS" u="1"/>
        <s v="REG&amp;COMPLIANCE" u="1"/>
        <s v="SIAYA" u="1"/>
        <s v="ADMIN" u="1"/>
        <s v="KAPSABET" u="1"/>
        <s v="CVS" u="1"/>
        <s v="RISK" u="1"/>
        <s v="FPB" u="1"/>
        <s v="HR/TRAINING" u="1"/>
        <s v="GM (SS)" u="1"/>
        <s v="STRATEGY" u="1"/>
        <s v="CVS  " u="1"/>
        <s v="CVS (B-CERT)" u="1"/>
        <s v="MIGORI" u="1"/>
        <s v="KISII" u="1"/>
        <s v="CORPORATE COMMUNICATION" u="1"/>
        <s v="MPD" u="1"/>
        <s v="MT" u="1"/>
        <s v="R&amp;D" u="1"/>
        <s v="MPM" u="1"/>
        <s v="AUDIT" u="1"/>
        <s v="ICT" u="1"/>
        <s v="MARKETING" u="1"/>
        <s v="SF STORE" u="1"/>
        <s v="RONGAI" u="1"/>
        <s v="MAINTENANCE" u="1"/>
        <s v="MURANGA" u="1"/>
        <s v="BENEFITS" u="1"/>
      </sharedItems>
    </cacheField>
    <cacheField name="Running Balance" numFmtId="0">
      <sharedItems containsSemiMixedTypes="0" containsString="0" containsNumber="1" containsInteger="1" minValue="-6000" maxValue="2000"/>
    </cacheField>
  </cacheFields>
  <extLst>
    <ext xmlns:x14="http://schemas.microsoft.com/office/spreadsheetml/2009/9/main" uri="{725AE2AE-9491-48be-B2B4-4EB974FC3084}">
      <x14:pivotCacheDefinition pivotCacheId="2116769325"/>
    </ext>
  </extLst>
</pivotCacheDefinition>
</file>

<file path=xl/pivotCache/pivotCacheRecords1.xml><?xml version="1.0" encoding="utf-8"?>
<pivotCacheRecords xmlns="http://schemas.openxmlformats.org/spreadsheetml/2006/main" xmlns:r="http://schemas.openxmlformats.org/officeDocument/2006/relationships" count="9">
  <r>
    <x v="0"/>
    <n v="4900056778"/>
    <x v="0"/>
    <n v="100172"/>
    <x v="0"/>
    <x v="0"/>
    <n v="1000"/>
    <x v="0"/>
    <n v="-1000"/>
  </r>
  <r>
    <x v="1"/>
    <m/>
    <x v="1"/>
    <m/>
    <x v="1"/>
    <x v="1"/>
    <m/>
    <x v="1"/>
    <n v="0"/>
  </r>
  <r>
    <x v="1"/>
    <m/>
    <x v="1"/>
    <m/>
    <x v="1"/>
    <x v="1"/>
    <m/>
    <x v="1"/>
    <n v="0"/>
  </r>
  <r>
    <x v="1"/>
    <m/>
    <x v="1"/>
    <m/>
    <x v="1"/>
    <x v="1"/>
    <m/>
    <x v="1"/>
    <n v="0"/>
  </r>
  <r>
    <x v="1"/>
    <m/>
    <x v="1"/>
    <m/>
    <x v="1"/>
    <x v="1"/>
    <m/>
    <x v="1"/>
    <n v="0"/>
  </r>
  <r>
    <x v="1"/>
    <m/>
    <x v="1"/>
    <m/>
    <x v="1"/>
    <x v="1"/>
    <m/>
    <x v="1"/>
    <n v="0"/>
  </r>
  <r>
    <x v="1"/>
    <m/>
    <x v="1"/>
    <m/>
    <x v="1"/>
    <x v="1"/>
    <m/>
    <x v="1"/>
    <n v="0"/>
  </r>
  <r>
    <x v="1"/>
    <m/>
    <x v="1"/>
    <m/>
    <x v="1"/>
    <x v="1"/>
    <m/>
    <x v="1"/>
    <n v="0"/>
  </r>
  <r>
    <x v="1"/>
    <m/>
    <x v="1"/>
    <m/>
    <x v="1"/>
    <x v="1"/>
    <m/>
    <x v="1"/>
    <n v="0"/>
  </r>
</pivotCacheRecords>
</file>

<file path=xl/pivotCache/pivotCacheRecords2.xml><?xml version="1.0" encoding="utf-8"?>
<pivotCacheRecords xmlns="http://schemas.openxmlformats.org/spreadsheetml/2006/main" xmlns:r="http://schemas.openxmlformats.org/officeDocument/2006/relationships" count="9">
  <r>
    <x v="0"/>
    <m/>
    <x v="0"/>
    <n v="105"/>
    <x v="0"/>
    <s v="NO"/>
    <n v="20"/>
    <x v="0"/>
    <n v="-20"/>
  </r>
  <r>
    <x v="0"/>
    <m/>
    <x v="1"/>
    <m/>
    <x v="1"/>
    <s v=""/>
    <m/>
    <x v="1"/>
    <n v="0"/>
  </r>
  <r>
    <x v="0"/>
    <m/>
    <x v="1"/>
    <m/>
    <x v="1"/>
    <s v=""/>
    <m/>
    <x v="1"/>
    <n v="0"/>
  </r>
  <r>
    <x v="0"/>
    <m/>
    <x v="1"/>
    <m/>
    <x v="1"/>
    <s v=""/>
    <m/>
    <x v="1"/>
    <n v="0"/>
  </r>
  <r>
    <x v="0"/>
    <m/>
    <x v="1"/>
    <m/>
    <x v="1"/>
    <s v=""/>
    <m/>
    <x v="1"/>
    <n v="0"/>
  </r>
  <r>
    <x v="0"/>
    <m/>
    <x v="1"/>
    <m/>
    <x v="1"/>
    <s v=""/>
    <m/>
    <x v="1"/>
    <n v="0"/>
  </r>
  <r>
    <x v="0"/>
    <m/>
    <x v="1"/>
    <m/>
    <x v="1"/>
    <s v=""/>
    <m/>
    <x v="1"/>
    <n v="0"/>
  </r>
  <r>
    <x v="0"/>
    <m/>
    <x v="1"/>
    <m/>
    <x v="1"/>
    <s v=""/>
    <m/>
    <x v="1"/>
    <n v="0"/>
  </r>
  <r>
    <x v="0"/>
    <m/>
    <x v="1"/>
    <m/>
    <x v="1"/>
    <s v=""/>
    <m/>
    <x v="1"/>
    <n v="0"/>
  </r>
</pivotCacheRecords>
</file>

<file path=xl/pivotCache/pivotCacheRecords3.xml><?xml version="1.0" encoding="utf-8"?>
<pivotCacheRecords xmlns="http://schemas.openxmlformats.org/spreadsheetml/2006/main" xmlns:r="http://schemas.openxmlformats.org/officeDocument/2006/relationships" count="3">
  <r>
    <x v="0"/>
    <x v="0"/>
    <x v="0"/>
  </r>
  <r>
    <x v="1"/>
    <x v="1"/>
    <x v="1"/>
  </r>
  <r>
    <x v="2"/>
    <x v="1"/>
    <x v="1"/>
  </r>
</pivotCacheRecords>
</file>

<file path=xl/pivotCache/pivotCacheRecords4.xml><?xml version="1.0" encoding="utf-8"?>
<pivotCacheRecords xmlns="http://schemas.openxmlformats.org/spreadsheetml/2006/main" xmlns:r="http://schemas.openxmlformats.org/officeDocument/2006/relationships" count="121">
  <r>
    <x v="0"/>
    <n v="490002787"/>
    <x v="0"/>
    <n v="100143"/>
    <x v="0"/>
    <x v="0"/>
    <x v="0"/>
    <x v="0"/>
    <n v="-100"/>
  </r>
  <r>
    <x v="0"/>
    <n v="4900027277"/>
    <x v="0"/>
    <n v="100220"/>
    <x v="1"/>
    <x v="0"/>
    <x v="1"/>
    <x v="1"/>
    <n v="-500"/>
  </r>
  <r>
    <x v="0"/>
    <n v="4900027277"/>
    <x v="0"/>
    <n v="100139"/>
    <x v="2"/>
    <x v="0"/>
    <x v="1"/>
    <x v="1"/>
    <n v="-500"/>
  </r>
  <r>
    <x v="0"/>
    <n v="4900027277"/>
    <x v="0"/>
    <n v="100218"/>
    <x v="3"/>
    <x v="0"/>
    <x v="2"/>
    <x v="1"/>
    <n v="-300"/>
  </r>
  <r>
    <x v="0"/>
    <n v="4900027277"/>
    <x v="0"/>
    <n v="100138"/>
    <x v="4"/>
    <x v="0"/>
    <x v="1"/>
    <x v="1"/>
    <n v="-500"/>
  </r>
  <r>
    <x v="0"/>
    <n v="4900027277"/>
    <x v="0"/>
    <n v="100145"/>
    <x v="5"/>
    <x v="0"/>
    <x v="3"/>
    <x v="1"/>
    <n v="-3000"/>
  </r>
  <r>
    <x v="0"/>
    <n v="4900027277"/>
    <x v="0"/>
    <n v="100213"/>
    <x v="6"/>
    <x v="0"/>
    <x v="4"/>
    <x v="1"/>
    <n v="-1000"/>
  </r>
  <r>
    <x v="0"/>
    <n v="4900027277"/>
    <x v="0"/>
    <n v="100211"/>
    <x v="7"/>
    <x v="0"/>
    <x v="0"/>
    <x v="1"/>
    <n v="-100"/>
  </r>
  <r>
    <x v="0"/>
    <n v="4900027277"/>
    <x v="0"/>
    <n v="100220"/>
    <x v="1"/>
    <x v="0"/>
    <x v="1"/>
    <x v="1"/>
    <n v="-500"/>
  </r>
  <r>
    <x v="0"/>
    <n v="4900027282"/>
    <x v="0"/>
    <n v="100218"/>
    <x v="3"/>
    <x v="0"/>
    <x v="1"/>
    <x v="2"/>
    <n v="-500"/>
  </r>
  <r>
    <x v="0"/>
    <n v="4900027282"/>
    <x v="0"/>
    <n v="100138"/>
    <x v="4"/>
    <x v="0"/>
    <x v="1"/>
    <x v="2"/>
    <n v="-500"/>
  </r>
  <r>
    <x v="0"/>
    <n v="4900027282"/>
    <x v="0"/>
    <n v="100211"/>
    <x v="7"/>
    <x v="0"/>
    <x v="5"/>
    <x v="2"/>
    <n v="-200"/>
  </r>
  <r>
    <x v="0"/>
    <n v="4900027282"/>
    <x v="0"/>
    <n v="100143"/>
    <x v="0"/>
    <x v="0"/>
    <x v="6"/>
    <x v="2"/>
    <n v="-2000"/>
  </r>
  <r>
    <x v="0"/>
    <n v="4900027282"/>
    <x v="0"/>
    <n v="100181"/>
    <x v="8"/>
    <x v="0"/>
    <x v="2"/>
    <x v="2"/>
    <n v="-300"/>
  </r>
  <r>
    <x v="0"/>
    <n v="4900027282"/>
    <x v="0"/>
    <n v="100145"/>
    <x v="5"/>
    <x v="0"/>
    <x v="3"/>
    <x v="2"/>
    <n v="-3000"/>
  </r>
  <r>
    <x v="0"/>
    <n v="4900027285"/>
    <x v="0"/>
    <n v="100138"/>
    <x v="4"/>
    <x v="0"/>
    <x v="1"/>
    <x v="0"/>
    <n v="-500"/>
  </r>
  <r>
    <x v="0"/>
    <n v="4900027285"/>
    <x v="0"/>
    <n v="100220"/>
    <x v="1"/>
    <x v="0"/>
    <x v="7"/>
    <x v="0"/>
    <n v="-400"/>
  </r>
  <r>
    <x v="0"/>
    <n v="4900027285"/>
    <x v="0"/>
    <n v="100139"/>
    <x v="2"/>
    <x v="0"/>
    <x v="1"/>
    <x v="0"/>
    <n v="-500"/>
  </r>
  <r>
    <x v="0"/>
    <n v="4900027285"/>
    <x v="0"/>
    <n v="100181"/>
    <x v="8"/>
    <x v="0"/>
    <x v="5"/>
    <x v="0"/>
    <n v="-200"/>
  </r>
  <r>
    <x v="0"/>
    <n v="4900027280"/>
    <x v="0"/>
    <n v="100145"/>
    <x v="5"/>
    <x v="0"/>
    <x v="3"/>
    <x v="3"/>
    <n v="-3000"/>
  </r>
  <r>
    <x v="0"/>
    <n v="4900027280"/>
    <x v="0"/>
    <n v="100143"/>
    <x v="0"/>
    <x v="0"/>
    <x v="3"/>
    <x v="3"/>
    <n v="-3000"/>
  </r>
  <r>
    <x v="0"/>
    <n v="4900027280"/>
    <x v="0"/>
    <n v="100138"/>
    <x v="4"/>
    <x v="0"/>
    <x v="1"/>
    <x v="3"/>
    <n v="-500"/>
  </r>
  <r>
    <x v="0"/>
    <n v="4900027280"/>
    <x v="0"/>
    <n v="100220"/>
    <x v="1"/>
    <x v="0"/>
    <x v="1"/>
    <x v="3"/>
    <n v="-500"/>
  </r>
  <r>
    <x v="0"/>
    <n v="4900027280"/>
    <x v="0"/>
    <n v="100221"/>
    <x v="9"/>
    <x v="0"/>
    <x v="0"/>
    <x v="3"/>
    <n v="-100"/>
  </r>
  <r>
    <x v="0"/>
    <n v="4900027280"/>
    <x v="0"/>
    <n v="100211"/>
    <x v="7"/>
    <x v="0"/>
    <x v="5"/>
    <x v="3"/>
    <n v="-200"/>
  </r>
  <r>
    <x v="1"/>
    <n v="4900027289"/>
    <x v="0"/>
    <n v="100138"/>
    <x v="4"/>
    <x v="0"/>
    <x v="1"/>
    <x v="4"/>
    <n v="-500"/>
  </r>
  <r>
    <x v="1"/>
    <n v="4900027289"/>
    <x v="0"/>
    <n v="100139"/>
    <x v="2"/>
    <x v="0"/>
    <x v="1"/>
    <x v="4"/>
    <n v="-500"/>
  </r>
  <r>
    <x v="1"/>
    <n v="4900027289"/>
    <x v="0"/>
    <n v="100143"/>
    <x v="0"/>
    <x v="0"/>
    <x v="3"/>
    <x v="4"/>
    <n v="-3000"/>
  </r>
  <r>
    <x v="1"/>
    <n v="4900027289"/>
    <x v="0"/>
    <n v="100145"/>
    <x v="5"/>
    <x v="0"/>
    <x v="3"/>
    <x v="4"/>
    <n v="-3000"/>
  </r>
  <r>
    <x v="2"/>
    <n v="4900027295"/>
    <x v="0"/>
    <n v="100211"/>
    <x v="7"/>
    <x v="0"/>
    <x v="5"/>
    <x v="5"/>
    <n v="-200"/>
  </r>
  <r>
    <x v="2"/>
    <n v="4900027295"/>
    <x v="0"/>
    <n v="100145"/>
    <x v="5"/>
    <x v="0"/>
    <x v="6"/>
    <x v="5"/>
    <n v="-2000"/>
  </r>
  <r>
    <x v="2"/>
    <n v="4900027295"/>
    <x v="0"/>
    <n v="100138"/>
    <x v="4"/>
    <x v="0"/>
    <x v="1"/>
    <x v="5"/>
    <n v="-500"/>
  </r>
  <r>
    <x v="2"/>
    <n v="4900027295"/>
    <x v="0"/>
    <n v="100218"/>
    <x v="3"/>
    <x v="0"/>
    <x v="8"/>
    <x v="5"/>
    <n v="-150"/>
  </r>
  <r>
    <x v="2"/>
    <n v="4900027295"/>
    <x v="0"/>
    <n v="100143"/>
    <x v="0"/>
    <x v="0"/>
    <x v="6"/>
    <x v="5"/>
    <n v="-2000"/>
  </r>
  <r>
    <x v="2"/>
    <n v="4900027295"/>
    <x v="0"/>
    <n v="100220"/>
    <x v="1"/>
    <x v="0"/>
    <x v="0"/>
    <x v="5"/>
    <n v="-100"/>
  </r>
  <r>
    <x v="2"/>
    <n v="4900027295"/>
    <x v="0"/>
    <n v="100221"/>
    <x v="9"/>
    <x v="0"/>
    <x v="9"/>
    <x v="5"/>
    <n v="-80"/>
  </r>
  <r>
    <x v="2"/>
    <n v="4900027300"/>
    <x v="0"/>
    <n v="100145"/>
    <x v="5"/>
    <x v="0"/>
    <x v="3"/>
    <x v="0"/>
    <n v="-3000"/>
  </r>
  <r>
    <x v="3"/>
    <n v="4900027310"/>
    <x v="0"/>
    <n v="100123"/>
    <x v="10"/>
    <x v="0"/>
    <x v="5"/>
    <x v="6"/>
    <n v="-200"/>
  </r>
  <r>
    <x v="3"/>
    <n v="4900027310"/>
    <x v="0"/>
    <n v="100122"/>
    <x v="11"/>
    <x v="0"/>
    <x v="5"/>
    <x v="6"/>
    <n v="-200"/>
  </r>
  <r>
    <x v="3"/>
    <n v="4900027306"/>
    <x v="0"/>
    <n v="100130"/>
    <x v="12"/>
    <x v="0"/>
    <x v="0"/>
    <x v="7"/>
    <n v="-100"/>
  </r>
  <r>
    <x v="3"/>
    <n v="4900027306"/>
    <x v="0"/>
    <n v="100218"/>
    <x v="3"/>
    <x v="0"/>
    <x v="2"/>
    <x v="7"/>
    <n v="-300"/>
  </r>
  <r>
    <x v="3"/>
    <n v="4900027306"/>
    <x v="0"/>
    <n v="100138"/>
    <x v="4"/>
    <x v="0"/>
    <x v="1"/>
    <x v="7"/>
    <n v="-500"/>
  </r>
  <r>
    <x v="3"/>
    <n v="4900027306"/>
    <x v="0"/>
    <n v="100211"/>
    <x v="7"/>
    <x v="0"/>
    <x v="5"/>
    <x v="7"/>
    <n v="-200"/>
  </r>
  <r>
    <x v="3"/>
    <n v="4900027306"/>
    <x v="0"/>
    <n v="100181"/>
    <x v="8"/>
    <x v="0"/>
    <x v="2"/>
    <x v="7"/>
    <n v="-300"/>
  </r>
  <r>
    <x v="3"/>
    <n v="4900027306"/>
    <x v="0"/>
    <n v="100220"/>
    <x v="1"/>
    <x v="0"/>
    <x v="1"/>
    <x v="7"/>
    <n v="-500"/>
  </r>
  <r>
    <x v="3"/>
    <n v="4900027301"/>
    <x v="0"/>
    <n v="100139"/>
    <x v="2"/>
    <x v="0"/>
    <x v="1"/>
    <x v="8"/>
    <n v="-500"/>
  </r>
  <r>
    <x v="3"/>
    <n v="4900027301"/>
    <x v="0"/>
    <n v="100145"/>
    <x v="5"/>
    <x v="0"/>
    <x v="3"/>
    <x v="8"/>
    <n v="-3000"/>
  </r>
  <r>
    <x v="3"/>
    <n v="4900027301"/>
    <x v="0"/>
    <n v="100143"/>
    <x v="0"/>
    <x v="0"/>
    <x v="3"/>
    <x v="8"/>
    <n v="-3000"/>
  </r>
  <r>
    <x v="3"/>
    <n v="4900027301"/>
    <x v="0"/>
    <n v="100138"/>
    <x v="4"/>
    <x v="0"/>
    <x v="1"/>
    <x v="8"/>
    <n v="-500"/>
  </r>
  <r>
    <x v="3"/>
    <n v="4900027301"/>
    <x v="0"/>
    <n v="100220"/>
    <x v="1"/>
    <x v="0"/>
    <x v="1"/>
    <x v="8"/>
    <n v="-500"/>
  </r>
  <r>
    <x v="3"/>
    <n v="4900027301"/>
    <x v="0"/>
    <n v="100218"/>
    <x v="3"/>
    <x v="0"/>
    <x v="7"/>
    <x v="8"/>
    <n v="-400"/>
  </r>
  <r>
    <x v="4"/>
    <n v="4900027322"/>
    <x v="0"/>
    <n v="100123"/>
    <x v="10"/>
    <x v="0"/>
    <x v="2"/>
    <x v="9"/>
    <n v="-300"/>
  </r>
  <r>
    <x v="4"/>
    <n v="4900027313"/>
    <x v="0"/>
    <n v="100218"/>
    <x v="3"/>
    <x v="0"/>
    <x v="1"/>
    <x v="10"/>
    <n v="-500"/>
  </r>
  <r>
    <x v="4"/>
    <n v="4900027313"/>
    <x v="0"/>
    <n v="100143"/>
    <x v="0"/>
    <x v="0"/>
    <x v="10"/>
    <x v="10"/>
    <n v="-4000"/>
  </r>
  <r>
    <x v="4"/>
    <n v="4900027313"/>
    <x v="0"/>
    <n v="100181"/>
    <x v="8"/>
    <x v="0"/>
    <x v="2"/>
    <x v="10"/>
    <n v="-300"/>
  </r>
  <r>
    <x v="4"/>
    <n v="4900027313"/>
    <x v="0"/>
    <n v="100211"/>
    <x v="7"/>
    <x v="0"/>
    <x v="5"/>
    <x v="10"/>
    <n v="-200"/>
  </r>
  <r>
    <x v="4"/>
    <n v="4900027313"/>
    <x v="0"/>
    <n v="100220"/>
    <x v="1"/>
    <x v="0"/>
    <x v="1"/>
    <x v="10"/>
    <n v="-500"/>
  </r>
  <r>
    <x v="4"/>
    <n v="4900027313"/>
    <x v="0"/>
    <n v="100139"/>
    <x v="2"/>
    <x v="0"/>
    <x v="1"/>
    <x v="10"/>
    <n v="-500"/>
  </r>
  <r>
    <x v="5"/>
    <n v="4900027335"/>
    <x v="0"/>
    <n v="100123"/>
    <x v="10"/>
    <x v="0"/>
    <x v="5"/>
    <x v="11"/>
    <n v="-200"/>
  </r>
  <r>
    <x v="5"/>
    <n v="4900027335"/>
    <x v="0"/>
    <n v="100124"/>
    <x v="13"/>
    <x v="0"/>
    <x v="5"/>
    <x v="11"/>
    <n v="-200"/>
  </r>
  <r>
    <x v="5"/>
    <n v="4900027335"/>
    <x v="0"/>
    <n v="100122"/>
    <x v="11"/>
    <x v="0"/>
    <x v="0"/>
    <x v="11"/>
    <n v="-100"/>
  </r>
  <r>
    <x v="5"/>
    <n v="4900027348"/>
    <x v="0"/>
    <n v="100145"/>
    <x v="5"/>
    <x v="0"/>
    <x v="4"/>
    <x v="11"/>
    <n v="-1000"/>
  </r>
  <r>
    <x v="5"/>
    <n v="4900027342"/>
    <x v="0"/>
    <n v="100123"/>
    <x v="10"/>
    <x v="0"/>
    <x v="1"/>
    <x v="12"/>
    <n v="-500"/>
  </r>
  <r>
    <x v="5"/>
    <n v="4900027342"/>
    <x v="0"/>
    <n v="100122"/>
    <x v="11"/>
    <x v="0"/>
    <x v="1"/>
    <x v="12"/>
    <n v="-500"/>
  </r>
  <r>
    <x v="5"/>
    <n v="4900027347"/>
    <x v="0"/>
    <n v="100122"/>
    <x v="11"/>
    <x v="0"/>
    <x v="5"/>
    <x v="13"/>
    <n v="-200"/>
  </r>
  <r>
    <x v="5"/>
    <n v="4900027347"/>
    <x v="0"/>
    <n v="100155"/>
    <x v="14"/>
    <x v="0"/>
    <x v="11"/>
    <x v="13"/>
    <n v="-60"/>
  </r>
  <r>
    <x v="5"/>
    <n v="4900027352"/>
    <x v="0"/>
    <n v="100122"/>
    <x v="11"/>
    <x v="0"/>
    <x v="1"/>
    <x v="14"/>
    <n v="-500"/>
  </r>
  <r>
    <x v="5"/>
    <n v="4900027352"/>
    <x v="0"/>
    <n v="100123"/>
    <x v="10"/>
    <x v="0"/>
    <x v="1"/>
    <x v="14"/>
    <n v="-500"/>
  </r>
  <r>
    <x v="5"/>
    <n v="4900027333"/>
    <x v="0"/>
    <n v="100123"/>
    <x v="10"/>
    <x v="0"/>
    <x v="0"/>
    <x v="15"/>
    <n v="-100"/>
  </r>
  <r>
    <x v="6"/>
    <n v="4900027367"/>
    <x v="0"/>
    <n v="100123"/>
    <x v="10"/>
    <x v="0"/>
    <x v="0"/>
    <x v="16"/>
    <n v="-100"/>
  </r>
  <r>
    <x v="6"/>
    <n v="4900027367"/>
    <x v="0"/>
    <n v="100122"/>
    <x v="11"/>
    <x v="0"/>
    <x v="12"/>
    <x v="16"/>
    <n v="-50"/>
  </r>
  <r>
    <x v="6"/>
    <n v="4900027358"/>
    <x v="0"/>
    <n v="100124"/>
    <x v="13"/>
    <x v="0"/>
    <x v="12"/>
    <x v="17"/>
    <n v="-50"/>
  </r>
  <r>
    <x v="6"/>
    <n v="4900027358"/>
    <x v="0"/>
    <n v="100122"/>
    <x v="11"/>
    <x v="0"/>
    <x v="13"/>
    <x v="17"/>
    <n v="-10"/>
  </r>
  <r>
    <x v="7"/>
    <n v="4900027383"/>
    <x v="0"/>
    <n v="100123"/>
    <x v="10"/>
    <x v="0"/>
    <x v="5"/>
    <x v="18"/>
    <n v="-200"/>
  </r>
  <r>
    <x v="7"/>
    <n v="4900027383"/>
    <x v="0"/>
    <n v="100122"/>
    <x v="11"/>
    <x v="0"/>
    <x v="5"/>
    <x v="18"/>
    <n v="-200"/>
  </r>
  <r>
    <x v="7"/>
    <n v="4900027387"/>
    <x v="0"/>
    <n v="100145"/>
    <x v="5"/>
    <x v="0"/>
    <x v="3"/>
    <x v="4"/>
    <n v="-3000"/>
  </r>
  <r>
    <x v="7"/>
    <n v="4900027387"/>
    <x v="0"/>
    <n v="100143"/>
    <x v="0"/>
    <x v="0"/>
    <x v="3"/>
    <x v="4"/>
    <n v="-3000"/>
  </r>
  <r>
    <x v="7"/>
    <n v="4900027387"/>
    <x v="0"/>
    <n v="100139"/>
    <x v="2"/>
    <x v="0"/>
    <x v="1"/>
    <x v="4"/>
    <n v="-500"/>
  </r>
  <r>
    <x v="7"/>
    <n v="4900027390"/>
    <x v="0"/>
    <n v="100181"/>
    <x v="8"/>
    <x v="0"/>
    <x v="2"/>
    <x v="4"/>
    <n v="-300"/>
  </r>
  <r>
    <x v="7"/>
    <n v="4900027402"/>
    <x v="0"/>
    <n v="100181"/>
    <x v="8"/>
    <x v="0"/>
    <x v="5"/>
    <x v="19"/>
    <n v="-200"/>
  </r>
  <r>
    <x v="7"/>
    <n v="4900027402"/>
    <x v="0"/>
    <n v="100145"/>
    <x v="5"/>
    <x v="0"/>
    <x v="6"/>
    <x v="19"/>
    <n v="-2000"/>
  </r>
  <r>
    <x v="7"/>
    <n v="4900027402"/>
    <x v="0"/>
    <n v="100139"/>
    <x v="2"/>
    <x v="0"/>
    <x v="1"/>
    <x v="19"/>
    <n v="-500"/>
  </r>
  <r>
    <x v="7"/>
    <n v="4900027402"/>
    <x v="0"/>
    <n v="100218"/>
    <x v="3"/>
    <x v="0"/>
    <x v="7"/>
    <x v="19"/>
    <n v="-400"/>
  </r>
  <r>
    <x v="8"/>
    <n v="4900027409"/>
    <x v="0"/>
    <n v="100181"/>
    <x v="8"/>
    <x v="0"/>
    <x v="5"/>
    <x v="20"/>
    <n v="-200"/>
  </r>
  <r>
    <x v="8"/>
    <n v="4900027409"/>
    <x v="0"/>
    <n v="100218"/>
    <x v="3"/>
    <x v="0"/>
    <x v="2"/>
    <x v="20"/>
    <n v="-300"/>
  </r>
  <r>
    <x v="8"/>
    <n v="4900027409"/>
    <x v="0"/>
    <n v="100220"/>
    <x v="1"/>
    <x v="0"/>
    <x v="2"/>
    <x v="20"/>
    <n v="-300"/>
  </r>
  <r>
    <x v="8"/>
    <n v="4900027418"/>
    <x v="0"/>
    <n v="100145"/>
    <x v="5"/>
    <x v="0"/>
    <x v="3"/>
    <x v="3"/>
    <n v="-3000"/>
  </r>
  <r>
    <x v="8"/>
    <n v="4900027411"/>
    <x v="0"/>
    <n v="100211"/>
    <x v="7"/>
    <x v="0"/>
    <x v="5"/>
    <x v="20"/>
    <n v="-200"/>
  </r>
  <r>
    <x v="9"/>
    <n v="4900027420"/>
    <x v="0"/>
    <n v="100218"/>
    <x v="3"/>
    <x v="0"/>
    <x v="1"/>
    <x v="21"/>
    <n v="-500"/>
  </r>
  <r>
    <x v="9"/>
    <n v="4900027425"/>
    <x v="0"/>
    <n v="100181"/>
    <x v="8"/>
    <x v="0"/>
    <x v="2"/>
    <x v="0"/>
    <n v="-300"/>
  </r>
  <r>
    <x v="9"/>
    <n v="4900027425"/>
    <x v="0"/>
    <n v="100218"/>
    <x v="3"/>
    <x v="0"/>
    <x v="2"/>
    <x v="0"/>
    <n v="-300"/>
  </r>
  <r>
    <x v="9"/>
    <n v="4900027422"/>
    <x v="0"/>
    <n v="100220"/>
    <x v="1"/>
    <x v="0"/>
    <x v="1"/>
    <x v="22"/>
    <n v="-500"/>
  </r>
  <r>
    <x v="9"/>
    <n v="4900027422"/>
    <x v="0"/>
    <n v="100143"/>
    <x v="0"/>
    <x v="0"/>
    <x v="6"/>
    <x v="22"/>
    <n v="-2000"/>
  </r>
  <r>
    <x v="9"/>
    <n v="4900027422"/>
    <x v="0"/>
    <n v="100218"/>
    <x v="3"/>
    <x v="0"/>
    <x v="2"/>
    <x v="22"/>
    <n v="-300"/>
  </r>
  <r>
    <x v="9"/>
    <n v="4900027422"/>
    <x v="0"/>
    <n v="100211"/>
    <x v="7"/>
    <x v="0"/>
    <x v="0"/>
    <x v="22"/>
    <n v="-100"/>
  </r>
  <r>
    <x v="9"/>
    <n v="4900027422"/>
    <x v="0"/>
    <n v="100145"/>
    <x v="5"/>
    <x v="0"/>
    <x v="4"/>
    <x v="22"/>
    <n v="-1000"/>
  </r>
  <r>
    <x v="10"/>
    <n v="4900027433"/>
    <x v="0"/>
    <n v="100218"/>
    <x v="3"/>
    <x v="0"/>
    <x v="7"/>
    <x v="23"/>
    <n v="-400"/>
  </r>
  <r>
    <x v="10"/>
    <n v="4900027433"/>
    <x v="0"/>
    <n v="100220"/>
    <x v="1"/>
    <x v="0"/>
    <x v="1"/>
    <x v="23"/>
    <n v="-500"/>
  </r>
  <r>
    <x v="10"/>
    <n v="4900027433"/>
    <x v="0"/>
    <n v="100139"/>
    <x v="2"/>
    <x v="0"/>
    <x v="1"/>
    <x v="23"/>
    <n v="-500"/>
  </r>
  <r>
    <x v="10"/>
    <n v="4900027433"/>
    <x v="0"/>
    <n v="100181"/>
    <x v="8"/>
    <x v="0"/>
    <x v="2"/>
    <x v="23"/>
    <n v="-300"/>
  </r>
  <r>
    <x v="10"/>
    <n v="4900027445"/>
    <x v="0"/>
    <n v="100218"/>
    <x v="3"/>
    <x v="0"/>
    <x v="1"/>
    <x v="24"/>
    <n v="-500"/>
  </r>
  <r>
    <x v="10"/>
    <n v="4900027443"/>
    <x v="0"/>
    <n v="100145"/>
    <x v="5"/>
    <x v="0"/>
    <x v="3"/>
    <x v="24"/>
    <n v="-3000"/>
  </r>
  <r>
    <x v="10"/>
    <n v="4900027443"/>
    <x v="0"/>
    <n v="100143"/>
    <x v="0"/>
    <x v="0"/>
    <x v="3"/>
    <x v="24"/>
    <n v="-3000"/>
  </r>
  <r>
    <x v="10"/>
    <n v="4900027440"/>
    <x v="0"/>
    <n v="100122"/>
    <x v="11"/>
    <x v="0"/>
    <x v="12"/>
    <x v="25"/>
    <n v="-50"/>
  </r>
  <r>
    <x v="10"/>
    <n v="4900027436"/>
    <x v="0"/>
    <n v="100130"/>
    <x v="12"/>
    <x v="0"/>
    <x v="14"/>
    <x v="26"/>
    <n v="-20"/>
  </r>
  <r>
    <x v="10"/>
    <n v="4900027436"/>
    <x v="0"/>
    <n v="100145"/>
    <x v="5"/>
    <x v="0"/>
    <x v="15"/>
    <x v="26"/>
    <n v="-6000"/>
  </r>
  <r>
    <x v="10"/>
    <n v="4900027436"/>
    <x v="0"/>
    <n v="100181"/>
    <x v="8"/>
    <x v="0"/>
    <x v="2"/>
    <x v="26"/>
    <n v="-300"/>
  </r>
  <r>
    <x v="10"/>
    <n v="4900027436"/>
    <x v="0"/>
    <n v="100218"/>
    <x v="3"/>
    <x v="0"/>
    <x v="1"/>
    <x v="26"/>
    <n v="-500"/>
  </r>
  <r>
    <x v="10"/>
    <n v="4900027436"/>
    <x v="0"/>
    <n v="100220"/>
    <x v="1"/>
    <x v="0"/>
    <x v="1"/>
    <x v="26"/>
    <n v="-500"/>
  </r>
  <r>
    <x v="10"/>
    <n v="4900027446"/>
    <x v="0"/>
    <n v="100145"/>
    <x v="5"/>
    <x v="0"/>
    <x v="10"/>
    <x v="27"/>
    <n v="-4000"/>
  </r>
  <r>
    <x v="10"/>
    <n v="4900027446"/>
    <x v="0"/>
    <n v="100143"/>
    <x v="0"/>
    <x v="0"/>
    <x v="6"/>
    <x v="27"/>
    <n v="-2000"/>
  </r>
  <r>
    <x v="10"/>
    <n v="4900027446"/>
    <x v="0"/>
    <n v="100220"/>
    <x v="1"/>
    <x v="0"/>
    <x v="1"/>
    <x v="27"/>
    <n v="-500"/>
  </r>
  <r>
    <x v="10"/>
    <n v="4900027446"/>
    <x v="0"/>
    <n v="100218"/>
    <x v="3"/>
    <x v="0"/>
    <x v="1"/>
    <x v="27"/>
    <n v="-500"/>
  </r>
  <r>
    <x v="11"/>
    <n v="4900027458"/>
    <x v="0"/>
    <n v="100143"/>
    <x v="0"/>
    <x v="0"/>
    <x v="6"/>
    <x v="26"/>
    <n v="-2000"/>
  </r>
  <r>
    <x v="11"/>
    <n v="4900027455"/>
    <x v="0"/>
    <n v="100145"/>
    <x v="5"/>
    <x v="0"/>
    <x v="4"/>
    <x v="28"/>
    <n v="-1000"/>
  </r>
  <r>
    <x v="11"/>
    <n v="4900027460"/>
    <x v="0"/>
    <n v="100123"/>
    <x v="10"/>
    <x v="0"/>
    <x v="0"/>
    <x v="29"/>
    <n v="-100"/>
  </r>
  <r>
    <x v="11"/>
    <n v="4900027460"/>
    <x v="0"/>
    <n v="100122"/>
    <x v="11"/>
    <x v="0"/>
    <x v="0"/>
    <x v="29"/>
    <n v="-100"/>
  </r>
  <r>
    <x v="11"/>
    <n v="4900027463"/>
    <x v="0"/>
    <n v="100123"/>
    <x v="10"/>
    <x v="0"/>
    <x v="5"/>
    <x v="30"/>
    <n v="-200"/>
  </r>
  <r>
    <x v="12"/>
    <n v="4900027468"/>
    <x v="1"/>
    <n v="100145"/>
    <x v="5"/>
    <x v="0"/>
    <x v="4"/>
    <x v="21"/>
    <n v="1000"/>
  </r>
  <r>
    <x v="12"/>
    <n v="4900027468"/>
    <x v="1"/>
    <n v="100220"/>
    <x v="1"/>
    <x v="0"/>
    <x v="1"/>
    <x v="21"/>
    <n v="500"/>
  </r>
  <r>
    <x v="12"/>
    <n v="4900027468"/>
    <x v="1"/>
    <n v="100143"/>
    <x v="0"/>
    <x v="0"/>
    <x v="6"/>
    <x v="21"/>
    <n v="200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pivotTable1.xml><?xml version="1.0" encoding="utf-8"?>
<pivotTableDefinition xmlns="http://schemas.openxmlformats.org/spreadsheetml/2006/main" name="PivotTable1" cacheId="2"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22">
  <location ref="J2:L3" firstHeaderRow="0" firstDataRow="1" firstDataCol="1"/>
  <pivotFields count="3">
    <pivotField axis="axisRow" showAll="0">
      <items count="6">
        <item x="1"/>
        <item x="2"/>
        <item x="0"/>
        <item m="1" x="3"/>
        <item m="1" x="4"/>
        <item t="default"/>
      </items>
    </pivotField>
    <pivotField dataField="1" showAll="0">
      <items count="29">
        <item h="1" m="1" x="2"/>
        <item h="1" m="1" x="20"/>
        <item h="1" m="1" x="27"/>
        <item h="1" m="1" x="7"/>
        <item m="1" x="26"/>
        <item h="1" m="1" x="19"/>
        <item h="1" m="1" x="16"/>
        <item h="1" m="1" x="14"/>
        <item h="1" m="1" x="18"/>
        <item h="1" m="1" x="5"/>
        <item h="1" m="1" x="8"/>
        <item h="1" m="1" x="10"/>
        <item h="1" m="1" x="9"/>
        <item h="1" m="1" x="3"/>
        <item h="1" m="1" x="11"/>
        <item h="1" m="1" x="6"/>
        <item h="1" m="1" x="22"/>
        <item h="1" m="1" x="12"/>
        <item h="1" m="1" x="23"/>
        <item h="1" m="1" x="4"/>
        <item h="1" m="1" x="25"/>
        <item h="1" m="1" x="15"/>
        <item h="1" m="1" x="24"/>
        <item h="1" m="1" x="13"/>
        <item h="1" m="1" x="17"/>
        <item h="1" m="1" x="21"/>
        <item h="1" x="1"/>
        <item h="1" x="0"/>
        <item t="default"/>
      </items>
    </pivotField>
    <pivotField dataField="1" showAll="0">
      <items count="28">
        <item h="1" m="1" x="2"/>
        <item m="1" x="15"/>
        <item h="1" m="1" x="25"/>
        <item h="1" m="1" x="8"/>
        <item h="1" m="1" x="5"/>
        <item h="1" m="1" x="16"/>
        <item h="1" m="1" x="11"/>
        <item h="1" m="1" x="24"/>
        <item h="1" m="1" x="6"/>
        <item h="1" m="1" x="20"/>
        <item h="1" m="1" x="18"/>
        <item h="1" m="1" x="22"/>
        <item h="1" m="1" x="23"/>
        <item h="1" m="1" x="7"/>
        <item h="1" m="1" x="19"/>
        <item h="1" m="1" x="21"/>
        <item h="1" m="1" x="26"/>
        <item h="1" m="1" x="9"/>
        <item h="1" m="1" x="14"/>
        <item h="1" m="1" x="12"/>
        <item h="1" m="1" x="13"/>
        <item h="1" m="1" x="17"/>
        <item h="1" m="1" x="4"/>
        <item h="1" m="1" x="10"/>
        <item h="1" m="1" x="3"/>
        <item h="1" x="1"/>
        <item h="1" x="0"/>
        <item t="default"/>
      </items>
    </pivotField>
  </pivotFields>
  <rowFields count="1">
    <field x="0"/>
  </rowFields>
  <rowItems count="1">
    <i t="grand">
      <x/>
    </i>
  </rowItems>
  <colFields count="1">
    <field x="-2"/>
  </colFields>
  <colItems count="2">
    <i>
      <x/>
    </i>
    <i i="1">
      <x v="1"/>
    </i>
  </colItems>
  <dataFields count="2">
    <dataField name="Sum of Value of Deficiency" fld="1" showDataAs="percentOfTotal" baseField="0" baseItem="0" numFmtId="10"/>
    <dataField name="Sum of Value of Surplus" fld="2" showDataAs="percentOfTotal" baseField="0" baseItem="0" numFmtId="10"/>
  </dataFields>
  <chartFormats count="2">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3:D231" firstHeaderRow="1" firstDataRow="2" firstDataCol="1"/>
  <pivotFields count="9">
    <pivotField axis="axisRow" showAll="0">
      <items count="14">
        <item x="0"/>
        <item x="1"/>
        <item x="2"/>
        <item x="3"/>
        <item x="4"/>
        <item x="5"/>
        <item x="6"/>
        <item x="7"/>
        <item x="8"/>
        <item x="9"/>
        <item x="10"/>
        <item x="11"/>
        <item x="12"/>
        <item t="default"/>
      </items>
    </pivotField>
    <pivotField showAll="0"/>
    <pivotField axis="axisCol" showAll="0">
      <items count="5">
        <item x="0"/>
        <item m="1" x="3"/>
        <item x="1"/>
        <item h="1" m="1" x="2"/>
        <item t="default"/>
      </items>
    </pivotField>
    <pivotField showAll="0"/>
    <pivotField axis="axisRow" showAll="0">
      <items count="52">
        <item m="1" x="15"/>
        <item m="1" x="23"/>
        <item m="1" x="24"/>
        <item m="1" x="32"/>
        <item m="1" x="22"/>
        <item m="1" x="42"/>
        <item m="1" x="39"/>
        <item m="1" x="40"/>
        <item m="1" x="38"/>
        <item x="2"/>
        <item m="1" x="44"/>
        <item m="1" x="50"/>
        <item x="3"/>
        <item m="1" x="31"/>
        <item m="1" x="46"/>
        <item x="13"/>
        <item x="10"/>
        <item x="11"/>
        <item m="1" x="33"/>
        <item m="1" x="43"/>
        <item m="1" x="30"/>
        <item m="1" x="25"/>
        <item m="1" x="19"/>
        <item x="0"/>
        <item m="1" x="21"/>
        <item x="5"/>
        <item m="1" x="29"/>
        <item m="1" x="37"/>
        <item m="1" x="28"/>
        <item x="1"/>
        <item m="1" x="49"/>
        <item m="1" x="17"/>
        <item m="1" x="47"/>
        <item x="8"/>
        <item x="6"/>
        <item m="1" x="18"/>
        <item m="1" x="34"/>
        <item x="7"/>
        <item m="1" x="27"/>
        <item m="1" x="35"/>
        <item m="1" x="36"/>
        <item m="1" x="45"/>
        <item m="1" x="41"/>
        <item m="1" x="26"/>
        <item m="1" x="48"/>
        <item m="1" x="20"/>
        <item m="1" x="16"/>
        <item x="4"/>
        <item x="9"/>
        <item x="12"/>
        <item x="14"/>
        <item t="default"/>
      </items>
    </pivotField>
    <pivotField axis="axisRow" showAll="0">
      <items count="8">
        <item m="1" x="1"/>
        <item m="1" x="6"/>
        <item m="1" x="3"/>
        <item m="1" x="4"/>
        <item x="0"/>
        <item m="1" x="5"/>
        <item m="1" x="2"/>
        <item t="default"/>
      </items>
    </pivotField>
    <pivotField dataField="1" showAll="0"/>
    <pivotField axis="axisRow" showAll="0">
      <items count="76">
        <item m="1" x="50"/>
        <item x="25"/>
        <item m="1" x="67"/>
        <item m="1" x="74"/>
        <item m="1" x="41"/>
        <item x="4"/>
        <item m="1" x="62"/>
        <item m="1" x="52"/>
        <item m="1" x="58"/>
        <item m="1" x="59"/>
        <item x="24"/>
        <item x="20"/>
        <item x="2"/>
        <item x="16"/>
        <item x="6"/>
        <item m="1" x="54"/>
        <item m="1" x="56"/>
        <item m="1" x="39"/>
        <item x="12"/>
        <item m="1" x="45"/>
        <item x="27"/>
        <item x="7"/>
        <item m="1" x="43"/>
        <item x="14"/>
        <item m="1" x="55"/>
        <item x="13"/>
        <item m="1" x="68"/>
        <item x="21"/>
        <item x="18"/>
        <item x="1"/>
        <item m="1" x="51"/>
        <item x="0"/>
        <item m="1" x="61"/>
        <item m="1" x="33"/>
        <item x="8"/>
        <item x="28"/>
        <item m="1" x="32"/>
        <item x="22"/>
        <item m="1" x="72"/>
        <item m="1" x="34"/>
        <item m="1" x="69"/>
        <item x="29"/>
        <item m="1" x="60"/>
        <item x="3"/>
        <item m="1" x="63"/>
        <item m="1" x="66"/>
        <item m="1" x="40"/>
        <item m="1" x="64"/>
        <item x="5"/>
        <item m="1" x="73"/>
        <item x="26"/>
        <item m="1" x="37"/>
        <item m="1" x="42"/>
        <item m="1" x="38"/>
        <item x="15"/>
        <item x="17"/>
        <item m="1" x="65"/>
        <item m="1" x="47"/>
        <item m="1" x="48"/>
        <item x="11"/>
        <item m="1" x="53"/>
        <item x="30"/>
        <item m="1" x="71"/>
        <item m="1" x="36"/>
        <item m="1" x="35"/>
        <item m="1" x="44"/>
        <item m="1" x="70"/>
        <item m="1" x="49"/>
        <item m="1" x="57"/>
        <item x="9"/>
        <item x="10"/>
        <item x="19"/>
        <item m="1" x="46"/>
        <item x="23"/>
        <item m="1" x="31"/>
        <item t="default"/>
      </items>
    </pivotField>
    <pivotField showAll="0"/>
  </pivotFields>
  <rowFields count="4">
    <field x="0"/>
    <field x="5"/>
    <field x="4"/>
    <field x="7"/>
  </rowFields>
  <rowItems count="227">
    <i>
      <x/>
    </i>
    <i r="1">
      <x v="4"/>
    </i>
    <i r="2">
      <x v="9"/>
    </i>
    <i r="3">
      <x v="29"/>
    </i>
    <i r="3">
      <x v="31"/>
    </i>
    <i r="2">
      <x v="12"/>
    </i>
    <i r="3">
      <x v="12"/>
    </i>
    <i r="3">
      <x v="29"/>
    </i>
    <i r="2">
      <x v="23"/>
    </i>
    <i r="3">
      <x v="12"/>
    </i>
    <i r="3">
      <x v="31"/>
    </i>
    <i r="3">
      <x v="43"/>
    </i>
    <i r="2">
      <x v="25"/>
    </i>
    <i r="3">
      <x v="12"/>
    </i>
    <i r="3">
      <x v="29"/>
    </i>
    <i r="3">
      <x v="43"/>
    </i>
    <i r="2">
      <x v="29"/>
    </i>
    <i r="3">
      <x v="29"/>
    </i>
    <i r="3">
      <x v="31"/>
    </i>
    <i r="3">
      <x v="43"/>
    </i>
    <i r="2">
      <x v="33"/>
    </i>
    <i r="3">
      <x v="12"/>
    </i>
    <i r="3">
      <x v="31"/>
    </i>
    <i r="2">
      <x v="34"/>
    </i>
    <i r="3">
      <x v="29"/>
    </i>
    <i r="2">
      <x v="37"/>
    </i>
    <i r="3">
      <x v="12"/>
    </i>
    <i r="3">
      <x v="29"/>
    </i>
    <i r="3">
      <x v="43"/>
    </i>
    <i r="2">
      <x v="47"/>
    </i>
    <i r="3">
      <x v="12"/>
    </i>
    <i r="3">
      <x v="29"/>
    </i>
    <i r="3">
      <x v="31"/>
    </i>
    <i r="3">
      <x v="43"/>
    </i>
    <i r="2">
      <x v="48"/>
    </i>
    <i r="3">
      <x v="43"/>
    </i>
    <i>
      <x v="1"/>
    </i>
    <i r="1">
      <x v="4"/>
    </i>
    <i r="2">
      <x v="9"/>
    </i>
    <i r="3">
      <x v="5"/>
    </i>
    <i r="2">
      <x v="23"/>
    </i>
    <i r="3">
      <x v="5"/>
    </i>
    <i r="2">
      <x v="25"/>
    </i>
    <i r="3">
      <x v="5"/>
    </i>
    <i r="2">
      <x v="47"/>
    </i>
    <i r="3">
      <x v="5"/>
    </i>
    <i>
      <x v="2"/>
    </i>
    <i r="1">
      <x v="4"/>
    </i>
    <i r="2">
      <x v="12"/>
    </i>
    <i r="3">
      <x v="48"/>
    </i>
    <i r="2">
      <x v="23"/>
    </i>
    <i r="3">
      <x v="48"/>
    </i>
    <i r="2">
      <x v="25"/>
    </i>
    <i r="3">
      <x v="31"/>
    </i>
    <i r="3">
      <x v="48"/>
    </i>
    <i r="2">
      <x v="29"/>
    </i>
    <i r="3">
      <x v="48"/>
    </i>
    <i r="2">
      <x v="37"/>
    </i>
    <i r="3">
      <x v="48"/>
    </i>
    <i r="2">
      <x v="47"/>
    </i>
    <i r="3">
      <x v="48"/>
    </i>
    <i r="2">
      <x v="48"/>
    </i>
    <i r="3">
      <x v="48"/>
    </i>
    <i>
      <x v="3"/>
    </i>
    <i r="1">
      <x v="4"/>
    </i>
    <i r="2">
      <x v="9"/>
    </i>
    <i r="3">
      <x v="34"/>
    </i>
    <i r="2">
      <x v="12"/>
    </i>
    <i r="3">
      <x v="21"/>
    </i>
    <i r="3">
      <x v="34"/>
    </i>
    <i r="2">
      <x v="16"/>
    </i>
    <i r="3">
      <x v="14"/>
    </i>
    <i r="2">
      <x v="17"/>
    </i>
    <i r="3">
      <x v="14"/>
    </i>
    <i r="2">
      <x v="23"/>
    </i>
    <i r="3">
      <x v="34"/>
    </i>
    <i r="2">
      <x v="25"/>
    </i>
    <i r="3">
      <x v="34"/>
    </i>
    <i r="2">
      <x v="29"/>
    </i>
    <i r="3">
      <x v="21"/>
    </i>
    <i r="3">
      <x v="34"/>
    </i>
    <i r="2">
      <x v="33"/>
    </i>
    <i r="3">
      <x v="21"/>
    </i>
    <i r="2">
      <x v="37"/>
    </i>
    <i r="3">
      <x v="21"/>
    </i>
    <i r="2">
      <x v="47"/>
    </i>
    <i r="3">
      <x v="21"/>
    </i>
    <i r="3">
      <x v="34"/>
    </i>
    <i r="2">
      <x v="49"/>
    </i>
    <i r="3">
      <x v="21"/>
    </i>
    <i>
      <x v="4"/>
    </i>
    <i r="1">
      <x v="4"/>
    </i>
    <i r="2">
      <x v="9"/>
    </i>
    <i r="3">
      <x v="70"/>
    </i>
    <i r="2">
      <x v="12"/>
    </i>
    <i r="3">
      <x v="70"/>
    </i>
    <i r="2">
      <x v="16"/>
    </i>
    <i r="3">
      <x v="69"/>
    </i>
    <i r="2">
      <x v="23"/>
    </i>
    <i r="3">
      <x v="70"/>
    </i>
    <i r="2">
      <x v="29"/>
    </i>
    <i r="3">
      <x v="70"/>
    </i>
    <i r="2">
      <x v="33"/>
    </i>
    <i r="3">
      <x v="70"/>
    </i>
    <i r="2">
      <x v="37"/>
    </i>
    <i r="3">
      <x v="70"/>
    </i>
    <i>
      <x v="5"/>
    </i>
    <i r="1">
      <x v="4"/>
    </i>
    <i r="2">
      <x v="15"/>
    </i>
    <i r="3">
      <x v="59"/>
    </i>
    <i r="2">
      <x v="16"/>
    </i>
    <i r="3">
      <x v="18"/>
    </i>
    <i r="3">
      <x v="23"/>
    </i>
    <i r="3">
      <x v="54"/>
    </i>
    <i r="3">
      <x v="59"/>
    </i>
    <i r="2">
      <x v="17"/>
    </i>
    <i r="3">
      <x v="18"/>
    </i>
    <i r="3">
      <x v="23"/>
    </i>
    <i r="3">
      <x v="25"/>
    </i>
    <i r="3">
      <x v="59"/>
    </i>
    <i r="2">
      <x v="25"/>
    </i>
    <i r="3">
      <x v="59"/>
    </i>
    <i r="2">
      <x v="50"/>
    </i>
    <i r="3">
      <x v="25"/>
    </i>
    <i>
      <x v="6"/>
    </i>
    <i r="1">
      <x v="4"/>
    </i>
    <i r="2">
      <x v="15"/>
    </i>
    <i r="3">
      <x v="55"/>
    </i>
    <i r="2">
      <x v="16"/>
    </i>
    <i r="3">
      <x v="13"/>
    </i>
    <i r="2">
      <x v="17"/>
    </i>
    <i r="3">
      <x v="13"/>
    </i>
    <i r="3">
      <x v="55"/>
    </i>
    <i>
      <x v="7"/>
    </i>
    <i r="1">
      <x v="4"/>
    </i>
    <i r="2">
      <x v="9"/>
    </i>
    <i r="3">
      <x v="5"/>
    </i>
    <i r="3">
      <x v="71"/>
    </i>
    <i r="2">
      <x v="12"/>
    </i>
    <i r="3">
      <x v="71"/>
    </i>
    <i r="2">
      <x v="16"/>
    </i>
    <i r="3">
      <x v="28"/>
    </i>
    <i r="2">
      <x v="17"/>
    </i>
    <i r="3">
      <x v="28"/>
    </i>
    <i r="2">
      <x v="23"/>
    </i>
    <i r="3">
      <x v="5"/>
    </i>
    <i r="2">
      <x v="25"/>
    </i>
    <i r="3">
      <x v="5"/>
    </i>
    <i r="3">
      <x v="71"/>
    </i>
    <i r="2">
      <x v="33"/>
    </i>
    <i r="3">
      <x v="5"/>
    </i>
    <i r="3">
      <x v="71"/>
    </i>
    <i>
      <x v="8"/>
    </i>
    <i r="1">
      <x v="4"/>
    </i>
    <i r="2">
      <x v="12"/>
    </i>
    <i r="3">
      <x v="11"/>
    </i>
    <i r="2">
      <x v="25"/>
    </i>
    <i r="3">
      <x v="43"/>
    </i>
    <i r="2">
      <x v="29"/>
    </i>
    <i r="3">
      <x v="11"/>
    </i>
    <i r="2">
      <x v="33"/>
    </i>
    <i r="3">
      <x v="11"/>
    </i>
    <i r="2">
      <x v="37"/>
    </i>
    <i r="3">
      <x v="11"/>
    </i>
    <i>
      <x v="9"/>
    </i>
    <i r="1">
      <x v="4"/>
    </i>
    <i r="2">
      <x v="12"/>
    </i>
    <i r="3">
      <x v="27"/>
    </i>
    <i r="3">
      <x v="31"/>
    </i>
    <i r="3">
      <x v="37"/>
    </i>
    <i r="2">
      <x v="23"/>
    </i>
    <i r="3">
      <x v="37"/>
    </i>
    <i r="2">
      <x v="25"/>
    </i>
    <i r="3">
      <x v="37"/>
    </i>
    <i r="2">
      <x v="29"/>
    </i>
    <i r="3">
      <x v="37"/>
    </i>
    <i r="2">
      <x v="33"/>
    </i>
    <i r="3">
      <x v="31"/>
    </i>
    <i r="2">
      <x v="37"/>
    </i>
    <i r="3">
      <x v="37"/>
    </i>
    <i>
      <x v="10"/>
    </i>
    <i r="1">
      <x v="4"/>
    </i>
    <i r="2">
      <x v="9"/>
    </i>
    <i r="3">
      <x v="73"/>
    </i>
    <i r="2">
      <x v="12"/>
    </i>
    <i r="3">
      <x v="10"/>
    </i>
    <i r="3">
      <x v="20"/>
    </i>
    <i r="3">
      <x v="50"/>
    </i>
    <i r="3">
      <x v="73"/>
    </i>
    <i r="2">
      <x v="17"/>
    </i>
    <i r="3">
      <x v="1"/>
    </i>
    <i r="2">
      <x v="23"/>
    </i>
    <i r="3">
      <x v="10"/>
    </i>
    <i r="3">
      <x v="20"/>
    </i>
    <i r="2">
      <x v="25"/>
    </i>
    <i r="3">
      <x v="10"/>
    </i>
    <i r="3">
      <x v="20"/>
    </i>
    <i r="3">
      <x v="50"/>
    </i>
    <i r="2">
      <x v="29"/>
    </i>
    <i r="3">
      <x v="20"/>
    </i>
    <i r="3">
      <x v="50"/>
    </i>
    <i r="3">
      <x v="73"/>
    </i>
    <i r="2">
      <x v="33"/>
    </i>
    <i r="3">
      <x v="50"/>
    </i>
    <i r="3">
      <x v="73"/>
    </i>
    <i r="2">
      <x v="49"/>
    </i>
    <i r="3">
      <x v="50"/>
    </i>
    <i>
      <x v="11"/>
    </i>
    <i r="1">
      <x v="4"/>
    </i>
    <i r="2">
      <x v="16"/>
    </i>
    <i r="3">
      <x v="41"/>
    </i>
    <i r="3">
      <x v="61"/>
    </i>
    <i r="2">
      <x v="17"/>
    </i>
    <i r="3">
      <x v="41"/>
    </i>
    <i r="2">
      <x v="23"/>
    </i>
    <i r="3">
      <x v="50"/>
    </i>
    <i r="2">
      <x v="25"/>
    </i>
    <i r="3">
      <x v="35"/>
    </i>
    <i>
      <x v="12"/>
    </i>
    <i r="1">
      <x v="4"/>
    </i>
    <i r="2">
      <x v="23"/>
    </i>
    <i r="3">
      <x v="27"/>
    </i>
    <i r="2">
      <x v="25"/>
    </i>
    <i r="3">
      <x v="27"/>
    </i>
    <i r="2">
      <x v="29"/>
    </i>
    <i r="3">
      <x v="27"/>
    </i>
    <i t="grand">
      <x/>
    </i>
  </rowItems>
  <colFields count="1">
    <field x="2"/>
  </colFields>
  <colItems count="3">
    <i>
      <x/>
    </i>
    <i>
      <x v="2"/>
    </i>
    <i t="grand">
      <x/>
    </i>
  </colItems>
  <dataFields count="1">
    <dataField name="Sum of In&amp;Out Qty" fld="6" baseField="10" baseItem="0"/>
  </dataFields>
  <formats count="67">
    <format dxfId="171">
      <pivotArea type="all" dataOnly="0" outline="0" fieldPosition="0"/>
    </format>
    <format dxfId="170">
      <pivotArea outline="0" collapsedLevelsAreSubtotals="1" fieldPosition="0"/>
    </format>
    <format dxfId="169">
      <pivotArea field="0" type="button" dataOnly="0" labelOnly="1" outline="0" axis="axisRow" fieldPosition="0"/>
    </format>
    <format dxfId="168">
      <pivotArea dataOnly="0" labelOnly="1" outline="0" axis="axisValues" fieldPosition="0"/>
    </format>
    <format dxfId="167">
      <pivotArea dataOnly="0" labelOnly="1" fieldPosition="0">
        <references count="1">
          <reference field="0" count="0"/>
        </references>
      </pivotArea>
    </format>
    <format dxfId="166">
      <pivotArea dataOnly="0" labelOnly="1" grandRow="1" outline="0" fieldPosition="0"/>
    </format>
    <format dxfId="165">
      <pivotArea dataOnly="0" labelOnly="1" fieldPosition="0">
        <references count="2">
          <reference field="0" count="1" selected="0">
            <x v="0"/>
          </reference>
          <reference field="2" count="0"/>
        </references>
      </pivotArea>
    </format>
    <format dxfId="164">
      <pivotArea dataOnly="0" labelOnly="1" fieldPosition="0">
        <references count="2">
          <reference field="0" count="1" selected="0">
            <x v="1"/>
          </reference>
          <reference field="2" count="0"/>
        </references>
      </pivotArea>
    </format>
    <format dxfId="163">
      <pivotArea dataOnly="0" labelOnly="1" fieldPosition="0">
        <references count="2">
          <reference field="0" count="1" selected="0">
            <x v="2"/>
          </reference>
          <reference field="2" count="0"/>
        </references>
      </pivotArea>
    </format>
    <format dxfId="162">
      <pivotArea dataOnly="0" labelOnly="1" fieldPosition="0">
        <references count="2">
          <reference field="0" count="1" selected="0">
            <x v="3"/>
          </reference>
          <reference field="2" count="0"/>
        </references>
      </pivotArea>
    </format>
    <format dxfId="161">
      <pivotArea dataOnly="0" labelOnly="1" fieldPosition="0">
        <references count="2">
          <reference field="0" count="1" selected="0">
            <x v="4"/>
          </reference>
          <reference field="2" count="0"/>
        </references>
      </pivotArea>
    </format>
    <format dxfId="160">
      <pivotArea dataOnly="0" labelOnly="1" fieldPosition="0">
        <references count="2">
          <reference field="0" count="1" selected="0">
            <x v="5"/>
          </reference>
          <reference field="2" count="0"/>
        </references>
      </pivotArea>
    </format>
    <format dxfId="159">
      <pivotArea dataOnly="0" labelOnly="1" fieldPosition="0">
        <references count="2">
          <reference field="0" count="1" selected="0">
            <x v="6"/>
          </reference>
          <reference field="2" count="0"/>
        </references>
      </pivotArea>
    </format>
    <format dxfId="158">
      <pivotArea dataOnly="0" labelOnly="1" fieldPosition="0">
        <references count="2">
          <reference field="0" count="1" selected="0">
            <x v="7"/>
          </reference>
          <reference field="2" count="0"/>
        </references>
      </pivotArea>
    </format>
    <format dxfId="157">
      <pivotArea dataOnly="0" labelOnly="1" fieldPosition="0">
        <references count="2">
          <reference field="0" count="1" selected="0">
            <x v="8"/>
          </reference>
          <reference field="2" count="0"/>
        </references>
      </pivotArea>
    </format>
    <format dxfId="156">
      <pivotArea dataOnly="0" labelOnly="1" fieldPosition="0">
        <references count="2">
          <reference field="0" count="1" selected="0">
            <x v="9"/>
          </reference>
          <reference field="2" count="0"/>
        </references>
      </pivotArea>
    </format>
    <format dxfId="155">
      <pivotArea dataOnly="0" labelOnly="1" fieldPosition="0">
        <references count="2">
          <reference field="0" count="1" selected="0">
            <x v="10"/>
          </reference>
          <reference field="2" count="0"/>
        </references>
      </pivotArea>
    </format>
    <format dxfId="154">
      <pivotArea dataOnly="0" labelOnly="1" fieldPosition="0">
        <references count="2">
          <reference field="0" count="1" selected="0">
            <x v="11"/>
          </reference>
          <reference field="2" count="0"/>
        </references>
      </pivotArea>
    </format>
    <format dxfId="153">
      <pivotArea dataOnly="0" labelOnly="1" fieldPosition="0">
        <references count="2">
          <reference field="0" count="1" selected="0">
            <x v="12"/>
          </reference>
          <reference field="2" count="0"/>
        </references>
      </pivotArea>
    </format>
    <format dxfId="152">
      <pivotArea dataOnly="0" labelOnly="1" fieldPosition="0">
        <references count="3">
          <reference field="0" count="1" selected="0">
            <x v="0"/>
          </reference>
          <reference field="2" count="0" selected="0"/>
          <reference field="4" count="10">
            <x v="9"/>
            <x v="12"/>
            <x v="23"/>
            <x v="25"/>
            <x v="29"/>
            <x v="33"/>
            <x v="34"/>
            <x v="37"/>
            <x v="47"/>
            <x v="48"/>
          </reference>
        </references>
      </pivotArea>
    </format>
    <format dxfId="151">
      <pivotArea dataOnly="0" labelOnly="1" fieldPosition="0">
        <references count="3">
          <reference field="0" count="1" selected="0">
            <x v="1"/>
          </reference>
          <reference field="2" count="0" selected="0"/>
          <reference field="4" count="4">
            <x v="9"/>
            <x v="23"/>
            <x v="25"/>
            <x v="47"/>
          </reference>
        </references>
      </pivotArea>
    </format>
    <format dxfId="150">
      <pivotArea dataOnly="0" labelOnly="1" fieldPosition="0">
        <references count="3">
          <reference field="0" count="1" selected="0">
            <x v="2"/>
          </reference>
          <reference field="2" count="0" selected="0"/>
          <reference field="4" count="7">
            <x v="12"/>
            <x v="23"/>
            <x v="25"/>
            <x v="29"/>
            <x v="37"/>
            <x v="47"/>
            <x v="48"/>
          </reference>
        </references>
      </pivotArea>
    </format>
    <format dxfId="149">
      <pivotArea dataOnly="0" labelOnly="1" fieldPosition="0">
        <references count="3">
          <reference field="0" count="1" selected="0">
            <x v="3"/>
          </reference>
          <reference field="2" count="0" selected="0"/>
          <reference field="4" count="11">
            <x v="9"/>
            <x v="12"/>
            <x v="16"/>
            <x v="17"/>
            <x v="23"/>
            <x v="25"/>
            <x v="29"/>
            <x v="33"/>
            <x v="37"/>
            <x v="47"/>
            <x v="49"/>
          </reference>
        </references>
      </pivotArea>
    </format>
    <format dxfId="148">
      <pivotArea dataOnly="0" labelOnly="1" fieldPosition="0">
        <references count="3">
          <reference field="0" count="1" selected="0">
            <x v="4"/>
          </reference>
          <reference field="2" count="0" selected="0"/>
          <reference field="4" count="7">
            <x v="9"/>
            <x v="12"/>
            <x v="16"/>
            <x v="23"/>
            <x v="29"/>
            <x v="33"/>
            <x v="37"/>
          </reference>
        </references>
      </pivotArea>
    </format>
    <format dxfId="147">
      <pivotArea dataOnly="0" labelOnly="1" fieldPosition="0">
        <references count="3">
          <reference field="0" count="1" selected="0">
            <x v="5"/>
          </reference>
          <reference field="2" count="0" selected="0"/>
          <reference field="4" count="5">
            <x v="15"/>
            <x v="16"/>
            <x v="17"/>
            <x v="25"/>
            <x v="50"/>
          </reference>
        </references>
      </pivotArea>
    </format>
    <format dxfId="146">
      <pivotArea dataOnly="0" labelOnly="1" fieldPosition="0">
        <references count="3">
          <reference field="0" count="1" selected="0">
            <x v="6"/>
          </reference>
          <reference field="2" count="0" selected="0"/>
          <reference field="4" count="3">
            <x v="15"/>
            <x v="16"/>
            <x v="17"/>
          </reference>
        </references>
      </pivotArea>
    </format>
    <format dxfId="145">
      <pivotArea dataOnly="0" labelOnly="1" fieldPosition="0">
        <references count="3">
          <reference field="0" count="1" selected="0">
            <x v="7"/>
          </reference>
          <reference field="2" count="0" selected="0"/>
          <reference field="4" count="7">
            <x v="9"/>
            <x v="12"/>
            <x v="16"/>
            <x v="17"/>
            <x v="23"/>
            <x v="25"/>
            <x v="33"/>
          </reference>
        </references>
      </pivotArea>
    </format>
    <format dxfId="144">
      <pivotArea dataOnly="0" labelOnly="1" fieldPosition="0">
        <references count="3">
          <reference field="0" count="1" selected="0">
            <x v="8"/>
          </reference>
          <reference field="2" count="0" selected="0"/>
          <reference field="4" count="5">
            <x v="12"/>
            <x v="25"/>
            <x v="29"/>
            <x v="33"/>
            <x v="37"/>
          </reference>
        </references>
      </pivotArea>
    </format>
    <format dxfId="143">
      <pivotArea dataOnly="0" labelOnly="1" fieldPosition="0">
        <references count="3">
          <reference field="0" count="1" selected="0">
            <x v="9"/>
          </reference>
          <reference field="2" count="0" selected="0"/>
          <reference field="4" count="6">
            <x v="12"/>
            <x v="23"/>
            <x v="25"/>
            <x v="29"/>
            <x v="33"/>
            <x v="37"/>
          </reference>
        </references>
      </pivotArea>
    </format>
    <format dxfId="142">
      <pivotArea dataOnly="0" labelOnly="1" fieldPosition="0">
        <references count="3">
          <reference field="0" count="1" selected="0">
            <x v="10"/>
          </reference>
          <reference field="2" count="0" selected="0"/>
          <reference field="4" count="8">
            <x v="9"/>
            <x v="12"/>
            <x v="17"/>
            <x v="23"/>
            <x v="25"/>
            <x v="29"/>
            <x v="33"/>
            <x v="49"/>
          </reference>
        </references>
      </pivotArea>
    </format>
    <format dxfId="141">
      <pivotArea dataOnly="0" labelOnly="1" fieldPosition="0">
        <references count="3">
          <reference field="0" count="1" selected="0">
            <x v="11"/>
          </reference>
          <reference field="2" count="0" selected="0"/>
          <reference field="4" count="4">
            <x v="16"/>
            <x v="17"/>
            <x v="23"/>
            <x v="25"/>
          </reference>
        </references>
      </pivotArea>
    </format>
    <format dxfId="140">
      <pivotArea dataOnly="0" labelOnly="1" fieldPosition="0">
        <references count="3">
          <reference field="0" count="1" selected="0">
            <x v="12"/>
          </reference>
          <reference field="2" count="0" selected="0"/>
          <reference field="4" count="3">
            <x v="23"/>
            <x v="25"/>
            <x v="29"/>
          </reference>
        </references>
      </pivotArea>
    </format>
    <format dxfId="139">
      <pivotArea dataOnly="0" labelOnly="1" outline="0" axis="axisValues" fieldPosition="0"/>
    </format>
    <format dxfId="138">
      <pivotArea type="all" dataOnly="0" outline="0" fieldPosition="0"/>
    </format>
    <format dxfId="137">
      <pivotArea outline="0" collapsedLevelsAreSubtotals="1" fieldPosition="0"/>
    </format>
    <format dxfId="136">
      <pivotArea field="0" type="button" dataOnly="0" labelOnly="1" outline="0" axis="axisRow" fieldPosition="0"/>
    </format>
    <format dxfId="135">
      <pivotArea dataOnly="0" labelOnly="1" outline="0" axis="axisValues" fieldPosition="0"/>
    </format>
    <format dxfId="134">
      <pivotArea dataOnly="0" labelOnly="1" fieldPosition="0">
        <references count="1">
          <reference field="0" count="0"/>
        </references>
      </pivotArea>
    </format>
    <format dxfId="133">
      <pivotArea dataOnly="0" labelOnly="1" grandRow="1" outline="0" fieldPosition="0"/>
    </format>
    <format dxfId="132">
      <pivotArea dataOnly="0" labelOnly="1" fieldPosition="0">
        <references count="2">
          <reference field="0" count="1" selected="0">
            <x v="0"/>
          </reference>
          <reference field="2" count="0"/>
        </references>
      </pivotArea>
    </format>
    <format dxfId="131">
      <pivotArea dataOnly="0" labelOnly="1" fieldPosition="0">
        <references count="2">
          <reference field="0" count="1" selected="0">
            <x v="1"/>
          </reference>
          <reference field="2" count="0"/>
        </references>
      </pivotArea>
    </format>
    <format dxfId="130">
      <pivotArea dataOnly="0" labelOnly="1" fieldPosition="0">
        <references count="2">
          <reference field="0" count="1" selected="0">
            <x v="2"/>
          </reference>
          <reference field="2" count="0"/>
        </references>
      </pivotArea>
    </format>
    <format dxfId="129">
      <pivotArea dataOnly="0" labelOnly="1" fieldPosition="0">
        <references count="2">
          <reference field="0" count="1" selected="0">
            <x v="3"/>
          </reference>
          <reference field="2" count="0"/>
        </references>
      </pivotArea>
    </format>
    <format dxfId="128">
      <pivotArea dataOnly="0" labelOnly="1" fieldPosition="0">
        <references count="2">
          <reference field="0" count="1" selected="0">
            <x v="4"/>
          </reference>
          <reference field="2" count="0"/>
        </references>
      </pivotArea>
    </format>
    <format dxfId="127">
      <pivotArea dataOnly="0" labelOnly="1" fieldPosition="0">
        <references count="2">
          <reference field="0" count="1" selected="0">
            <x v="5"/>
          </reference>
          <reference field="2" count="0"/>
        </references>
      </pivotArea>
    </format>
    <format dxfId="126">
      <pivotArea dataOnly="0" labelOnly="1" fieldPosition="0">
        <references count="2">
          <reference field="0" count="1" selected="0">
            <x v="6"/>
          </reference>
          <reference field="2" count="0"/>
        </references>
      </pivotArea>
    </format>
    <format dxfId="125">
      <pivotArea dataOnly="0" labelOnly="1" fieldPosition="0">
        <references count="2">
          <reference field="0" count="1" selected="0">
            <x v="7"/>
          </reference>
          <reference field="2" count="0"/>
        </references>
      </pivotArea>
    </format>
    <format dxfId="124">
      <pivotArea dataOnly="0" labelOnly="1" fieldPosition="0">
        <references count="2">
          <reference field="0" count="1" selected="0">
            <x v="8"/>
          </reference>
          <reference field="2" count="0"/>
        </references>
      </pivotArea>
    </format>
    <format dxfId="123">
      <pivotArea dataOnly="0" labelOnly="1" fieldPosition="0">
        <references count="2">
          <reference field="0" count="1" selected="0">
            <x v="9"/>
          </reference>
          <reference field="2" count="0"/>
        </references>
      </pivotArea>
    </format>
    <format dxfId="122">
      <pivotArea dataOnly="0" labelOnly="1" fieldPosition="0">
        <references count="2">
          <reference field="0" count="1" selected="0">
            <x v="10"/>
          </reference>
          <reference field="2" count="0"/>
        </references>
      </pivotArea>
    </format>
    <format dxfId="121">
      <pivotArea dataOnly="0" labelOnly="1" fieldPosition="0">
        <references count="2">
          <reference field="0" count="1" selected="0">
            <x v="11"/>
          </reference>
          <reference field="2" count="0"/>
        </references>
      </pivotArea>
    </format>
    <format dxfId="120">
      <pivotArea dataOnly="0" labelOnly="1" fieldPosition="0">
        <references count="2">
          <reference field="0" count="1" selected="0">
            <x v="12"/>
          </reference>
          <reference field="2" count="0"/>
        </references>
      </pivotArea>
    </format>
    <format dxfId="119">
      <pivotArea dataOnly="0" labelOnly="1" fieldPosition="0">
        <references count="3">
          <reference field="0" count="1" selected="0">
            <x v="0"/>
          </reference>
          <reference field="2" count="0" selected="0"/>
          <reference field="4" count="10">
            <x v="9"/>
            <x v="12"/>
            <x v="23"/>
            <x v="25"/>
            <x v="29"/>
            <x v="33"/>
            <x v="34"/>
            <x v="37"/>
            <x v="47"/>
            <x v="48"/>
          </reference>
        </references>
      </pivotArea>
    </format>
    <format dxfId="118">
      <pivotArea dataOnly="0" labelOnly="1" fieldPosition="0">
        <references count="3">
          <reference field="0" count="1" selected="0">
            <x v="1"/>
          </reference>
          <reference field="2" count="0" selected="0"/>
          <reference field="4" count="4">
            <x v="9"/>
            <x v="23"/>
            <x v="25"/>
            <x v="47"/>
          </reference>
        </references>
      </pivotArea>
    </format>
    <format dxfId="117">
      <pivotArea dataOnly="0" labelOnly="1" fieldPosition="0">
        <references count="3">
          <reference field="0" count="1" selected="0">
            <x v="2"/>
          </reference>
          <reference field="2" count="0" selected="0"/>
          <reference field="4" count="7">
            <x v="12"/>
            <x v="23"/>
            <x v="25"/>
            <x v="29"/>
            <x v="37"/>
            <x v="47"/>
            <x v="48"/>
          </reference>
        </references>
      </pivotArea>
    </format>
    <format dxfId="116">
      <pivotArea dataOnly="0" labelOnly="1" fieldPosition="0">
        <references count="3">
          <reference field="0" count="1" selected="0">
            <x v="3"/>
          </reference>
          <reference field="2" count="0" selected="0"/>
          <reference field="4" count="11">
            <x v="9"/>
            <x v="12"/>
            <x v="16"/>
            <x v="17"/>
            <x v="23"/>
            <x v="25"/>
            <x v="29"/>
            <x v="33"/>
            <x v="37"/>
            <x v="47"/>
            <x v="49"/>
          </reference>
        </references>
      </pivotArea>
    </format>
    <format dxfId="115">
      <pivotArea dataOnly="0" labelOnly="1" fieldPosition="0">
        <references count="3">
          <reference field="0" count="1" selected="0">
            <x v="4"/>
          </reference>
          <reference field="2" count="0" selected="0"/>
          <reference field="4" count="7">
            <x v="9"/>
            <x v="12"/>
            <x v="16"/>
            <x v="23"/>
            <x v="29"/>
            <x v="33"/>
            <x v="37"/>
          </reference>
        </references>
      </pivotArea>
    </format>
    <format dxfId="114">
      <pivotArea dataOnly="0" labelOnly="1" fieldPosition="0">
        <references count="3">
          <reference field="0" count="1" selected="0">
            <x v="5"/>
          </reference>
          <reference field="2" count="0" selected="0"/>
          <reference field="4" count="5">
            <x v="15"/>
            <x v="16"/>
            <x v="17"/>
            <x v="25"/>
            <x v="50"/>
          </reference>
        </references>
      </pivotArea>
    </format>
    <format dxfId="113">
      <pivotArea dataOnly="0" labelOnly="1" fieldPosition="0">
        <references count="3">
          <reference field="0" count="1" selected="0">
            <x v="6"/>
          </reference>
          <reference field="2" count="0" selected="0"/>
          <reference field="4" count="3">
            <x v="15"/>
            <x v="16"/>
            <x v="17"/>
          </reference>
        </references>
      </pivotArea>
    </format>
    <format dxfId="112">
      <pivotArea dataOnly="0" labelOnly="1" fieldPosition="0">
        <references count="3">
          <reference field="0" count="1" selected="0">
            <x v="7"/>
          </reference>
          <reference field="2" count="0" selected="0"/>
          <reference field="4" count="7">
            <x v="9"/>
            <x v="12"/>
            <x v="16"/>
            <x v="17"/>
            <x v="23"/>
            <x v="25"/>
            <x v="33"/>
          </reference>
        </references>
      </pivotArea>
    </format>
    <format dxfId="111">
      <pivotArea dataOnly="0" labelOnly="1" fieldPosition="0">
        <references count="3">
          <reference field="0" count="1" selected="0">
            <x v="8"/>
          </reference>
          <reference field="2" count="0" selected="0"/>
          <reference field="4" count="5">
            <x v="12"/>
            <x v="25"/>
            <x v="29"/>
            <x v="33"/>
            <x v="37"/>
          </reference>
        </references>
      </pivotArea>
    </format>
    <format dxfId="110">
      <pivotArea dataOnly="0" labelOnly="1" fieldPosition="0">
        <references count="3">
          <reference field="0" count="1" selected="0">
            <x v="9"/>
          </reference>
          <reference field="2" count="0" selected="0"/>
          <reference field="4" count="6">
            <x v="12"/>
            <x v="23"/>
            <x v="25"/>
            <x v="29"/>
            <x v="33"/>
            <x v="37"/>
          </reference>
        </references>
      </pivotArea>
    </format>
    <format dxfId="109">
      <pivotArea dataOnly="0" labelOnly="1" fieldPosition="0">
        <references count="3">
          <reference field="0" count="1" selected="0">
            <x v="10"/>
          </reference>
          <reference field="2" count="0" selected="0"/>
          <reference field="4" count="8">
            <x v="9"/>
            <x v="12"/>
            <x v="17"/>
            <x v="23"/>
            <x v="25"/>
            <x v="29"/>
            <x v="33"/>
            <x v="49"/>
          </reference>
        </references>
      </pivotArea>
    </format>
    <format dxfId="108">
      <pivotArea dataOnly="0" labelOnly="1" fieldPosition="0">
        <references count="3">
          <reference field="0" count="1" selected="0">
            <x v="11"/>
          </reference>
          <reference field="2" count="0" selected="0"/>
          <reference field="4" count="4">
            <x v="16"/>
            <x v="17"/>
            <x v="23"/>
            <x v="25"/>
          </reference>
        </references>
      </pivotArea>
    </format>
    <format dxfId="107">
      <pivotArea dataOnly="0" labelOnly="1" fieldPosition="0">
        <references count="3">
          <reference field="0" count="1" selected="0">
            <x v="12"/>
          </reference>
          <reference field="2" count="0" selected="0"/>
          <reference field="4" count="3">
            <x v="23"/>
            <x v="25"/>
            <x v="29"/>
          </reference>
        </references>
      </pivotArea>
    </format>
    <format dxfId="106">
      <pivotArea dataOnly="0" labelOnly="1" outline="0" axis="axisValues" fieldPosition="0"/>
    </format>
    <format dxfId="105">
      <pivotArea dataOnly="0" labelOnly="1" fieldPosition="0">
        <references count="1">
          <reference field="5" count="0"/>
        </references>
      </pivotArea>
    </format>
  </formats>
  <pivotTableStyleInfo name="PivotStyleMedium1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4"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C9" firstHeaderRow="1" firstDataRow="2" firstDataCol="1"/>
  <pivotFields count="9">
    <pivotField axis="axisRow" showAll="0">
      <items count="3">
        <item x="1"/>
        <item x="0"/>
        <item t="default"/>
      </items>
    </pivotField>
    <pivotField showAll="0"/>
    <pivotField axis="axisCol" showAll="0">
      <items count="3">
        <item h="1" x="1"/>
        <item x="0"/>
        <item t="default"/>
      </items>
    </pivotField>
    <pivotField showAll="0"/>
    <pivotField axis="axisRow" showAll="0">
      <items count="3">
        <item x="1"/>
        <item x="0"/>
        <item t="default"/>
      </items>
    </pivotField>
    <pivotField axis="axisRow" showAll="0">
      <items count="5">
        <item m="1" x="2"/>
        <item m="1" x="3"/>
        <item x="0"/>
        <item x="1"/>
        <item t="default"/>
      </items>
    </pivotField>
    <pivotField dataField="1" showAll="0"/>
    <pivotField axis="axisRow" showAll="0">
      <items count="3">
        <item x="1"/>
        <item x="0"/>
        <item t="default"/>
      </items>
    </pivotField>
    <pivotField showAll="0"/>
  </pivotFields>
  <rowFields count="4">
    <field x="0"/>
    <field x="5"/>
    <field x="4"/>
    <field x="7"/>
  </rowFields>
  <rowItems count="5">
    <i>
      <x v="1"/>
    </i>
    <i r="1">
      <x v="2"/>
    </i>
    <i r="2">
      <x v="1"/>
    </i>
    <i r="3">
      <x v="1"/>
    </i>
    <i t="grand">
      <x/>
    </i>
  </rowItems>
  <colFields count="1">
    <field x="2"/>
  </colFields>
  <colItems count="2">
    <i>
      <x v="1"/>
    </i>
    <i t="grand">
      <x/>
    </i>
  </colItems>
  <dataFields count="1">
    <dataField name="Sum of In&amp;Out Qty" fld="6" baseField="0" baseItem="0"/>
  </dataFields>
  <formats count="11">
    <format dxfId="90">
      <pivotArea type="all" dataOnly="0" outline="0" fieldPosition="0"/>
    </format>
    <format dxfId="89">
      <pivotArea outline="0" collapsedLevelsAreSubtotals="1" fieldPosition="0"/>
    </format>
    <format dxfId="88">
      <pivotArea field="0" type="button" dataOnly="0" labelOnly="1" outline="0" axis="axisRow" fieldPosition="0"/>
    </format>
    <format dxfId="87">
      <pivotArea dataOnly="0" labelOnly="1" outline="0" axis="axisValues" fieldPosition="0"/>
    </format>
    <format dxfId="86">
      <pivotArea dataOnly="0" labelOnly="1" fieldPosition="0">
        <references count="1">
          <reference field="0" count="0"/>
        </references>
      </pivotArea>
    </format>
    <format dxfId="85">
      <pivotArea dataOnly="0" labelOnly="1" grandRow="1" outline="0" fieldPosition="0"/>
    </format>
    <format dxfId="84">
      <pivotArea dataOnly="0" labelOnly="1" fieldPosition="0">
        <references count="2">
          <reference field="0" count="0" selected="0"/>
          <reference field="2" count="0"/>
        </references>
      </pivotArea>
    </format>
    <format dxfId="83">
      <pivotArea dataOnly="0" labelOnly="1" fieldPosition="0">
        <references count="3">
          <reference field="0" count="0" selected="0"/>
          <reference field="2" count="0" selected="0"/>
          <reference field="4" count="0"/>
        </references>
      </pivotArea>
    </format>
    <format dxfId="82">
      <pivotArea dataOnly="0" labelOnly="1" fieldPosition="0">
        <references count="4">
          <reference field="0" count="0" selected="0"/>
          <reference field="2" count="0" selected="0"/>
          <reference field="4" count="0" selected="0"/>
          <reference field="5" count="0"/>
        </references>
      </pivotArea>
    </format>
    <format dxfId="81">
      <pivotArea dataOnly="0" labelOnly="1" fieldPosition="0">
        <references count="5">
          <reference field="0" count="0" selected="0"/>
          <reference field="2" count="0" selected="0"/>
          <reference field="4" count="0" selected="0"/>
          <reference field="5" count="0" selected="0"/>
          <reference field="7" count="0"/>
        </references>
      </pivotArea>
    </format>
    <format dxfId="80">
      <pivotArea dataOnly="0" labelOnly="1" outline="0" axis="axisValues" fieldPosition="0"/>
    </format>
  </formats>
  <pivotTableStyleInfo name="PivotStyleMedium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2" cacheId="1"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A3:B11" firstHeaderRow="1" firstDataRow="1" firstDataCol="1"/>
  <pivotFields count="9">
    <pivotField axis="axisRow" showAll="0">
      <items count="2">
        <item x="0"/>
        <item t="default"/>
      </items>
    </pivotField>
    <pivotField showAll="0"/>
    <pivotField axis="axisRow" showAll="0">
      <items count="3">
        <item x="1"/>
        <item x="0"/>
        <item t="default"/>
      </items>
    </pivotField>
    <pivotField showAll="0"/>
    <pivotField axis="axisRow" showAll="0">
      <items count="4">
        <item x="1"/>
        <item m="1" x="2"/>
        <item x="0"/>
        <item t="default"/>
      </items>
    </pivotField>
    <pivotField showAll="0"/>
    <pivotField dataField="1" showAll="0"/>
    <pivotField axis="axisRow" showAll="0">
      <items count="3">
        <item x="1"/>
        <item x="0"/>
        <item t="default"/>
      </items>
    </pivotField>
    <pivotField showAll="0"/>
  </pivotFields>
  <rowFields count="4">
    <field x="0"/>
    <field x="4"/>
    <field x="2"/>
    <field x="7"/>
  </rowFields>
  <rowItems count="8">
    <i>
      <x/>
    </i>
    <i r="1">
      <x/>
    </i>
    <i r="2">
      <x/>
    </i>
    <i r="3">
      <x/>
    </i>
    <i r="1">
      <x v="2"/>
    </i>
    <i r="2">
      <x v="1"/>
    </i>
    <i r="3">
      <x v="1"/>
    </i>
    <i t="grand">
      <x/>
    </i>
  </rowItems>
  <colItems count="1">
    <i/>
  </colItems>
  <dataFields count="1">
    <dataField name="Sum of In&amp;Out Qty" fld="6" baseField="0" baseItem="0"/>
  </dataFields>
  <formats count="10">
    <format dxfId="65">
      <pivotArea type="all" dataOnly="0" outline="0" fieldPosition="0"/>
    </format>
    <format dxfId="64">
      <pivotArea outline="0" collapsedLevelsAreSubtotals="1" fieldPosition="0"/>
    </format>
    <format dxfId="63">
      <pivotArea field="0" type="button" dataOnly="0" labelOnly="1" outline="0" axis="axisRow" fieldPosition="0"/>
    </format>
    <format dxfId="62">
      <pivotArea dataOnly="0" labelOnly="1" outline="0" axis="axisValues" fieldPosition="0"/>
    </format>
    <format dxfId="61">
      <pivotArea dataOnly="0" labelOnly="1" fieldPosition="0">
        <references count="1">
          <reference field="0" count="0"/>
        </references>
      </pivotArea>
    </format>
    <format dxfId="60">
      <pivotArea dataOnly="0" labelOnly="1" grandRow="1" outline="0" fieldPosition="0"/>
    </format>
    <format dxfId="59">
      <pivotArea dataOnly="0" labelOnly="1" fieldPosition="0">
        <references count="2">
          <reference field="0" count="0" selected="0"/>
          <reference field="4" count="0"/>
        </references>
      </pivotArea>
    </format>
    <format dxfId="58">
      <pivotArea dataOnly="0" labelOnly="1" fieldPosition="0">
        <references count="3">
          <reference field="0" count="0" selected="0"/>
          <reference field="2" count="0"/>
          <reference field="4" count="0" selected="0"/>
        </references>
      </pivotArea>
    </format>
    <format dxfId="57">
      <pivotArea dataOnly="0" labelOnly="1" fieldPosition="0">
        <references count="4">
          <reference field="0" count="0" selected="0"/>
          <reference field="2" count="0" selected="0"/>
          <reference field="4" count="0" selected="0"/>
          <reference field="7" count="0"/>
        </references>
      </pivotArea>
    </format>
    <format dxfId="5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5.xml><?xml version="1.0" encoding="utf-8"?>
<pivotTableDefinition xmlns="http://schemas.openxmlformats.org/spreadsheetml/2006/main" name="PivotTable1" cacheId="3" dataPosition="0"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10" rowHeaderCaption="Item Description">
  <location ref="A6:D138" firstHeaderRow="1" firstDataRow="2" firstDataCol="1"/>
  <pivotFields count="9">
    <pivotField numFmtId="14" showAll="0">
      <items count="14">
        <item x="0"/>
        <item x="1"/>
        <item x="2"/>
        <item x="3"/>
        <item x="4"/>
        <item x="5"/>
        <item x="6"/>
        <item x="7"/>
        <item x="8"/>
        <item x="9"/>
        <item x="10"/>
        <item x="11"/>
        <item x="12"/>
        <item t="default"/>
      </items>
    </pivotField>
    <pivotField showAll="0"/>
    <pivotField axis="axisCol" showAll="0">
      <items count="5">
        <item x="0"/>
        <item x="1"/>
        <item m="1" x="3"/>
        <item m="1" x="2"/>
        <item t="default"/>
      </items>
    </pivotField>
    <pivotField showAll="0"/>
    <pivotField axis="axisRow" showAll="0" sortType="descending">
      <items count="52">
        <item m="1" x="35"/>
        <item m="1" x="39"/>
        <item x="2"/>
        <item m="1" x="44"/>
        <item m="1" x="15"/>
        <item m="1" x="31"/>
        <item x="3"/>
        <item m="1" x="50"/>
        <item m="1" x="37"/>
        <item x="13"/>
        <item x="8"/>
        <item m="1" x="24"/>
        <item x="5"/>
        <item m="1" x="48"/>
        <item x="10"/>
        <item m="1" x="26"/>
        <item m="1" x="34"/>
        <item m="1" x="27"/>
        <item m="1" x="20"/>
        <item x="7"/>
        <item m="1" x="23"/>
        <item x="0"/>
        <item m="1" x="40"/>
        <item m="1" x="33"/>
        <item m="1" x="47"/>
        <item m="1" x="32"/>
        <item m="1" x="38"/>
        <item m="1" x="19"/>
        <item m="1" x="25"/>
        <item x="11"/>
        <item m="1" x="29"/>
        <item x="6"/>
        <item m="1" x="43"/>
        <item m="1" x="21"/>
        <item m="1" x="42"/>
        <item m="1" x="49"/>
        <item m="1" x="17"/>
        <item m="1" x="46"/>
        <item x="1"/>
        <item m="1" x="18"/>
        <item m="1" x="30"/>
        <item m="1" x="28"/>
        <item m="1" x="22"/>
        <item m="1" x="36"/>
        <item m="1" x="45"/>
        <item m="1" x="41"/>
        <item m="1" x="16"/>
        <item x="4"/>
        <item x="9"/>
        <item x="12"/>
        <item x="14"/>
        <item t="default"/>
      </items>
      <autoSortScope>
        <pivotArea dataOnly="0" outline="0" fieldPosition="0">
          <references count="1">
            <reference field="4294967294" count="1" selected="0">
              <x v="0"/>
            </reference>
          </references>
        </pivotArea>
      </autoSortScope>
    </pivotField>
    <pivotField showAll="0"/>
    <pivotField dataField="1" showAll="0">
      <items count="39">
        <item m="1" x="30"/>
        <item m="1" x="24"/>
        <item m="1" x="31"/>
        <item m="1" x="37"/>
        <item m="1" x="19"/>
        <item m="1" x="26"/>
        <item m="1" x="28"/>
        <item x="13"/>
        <item m="1" x="20"/>
        <item x="14"/>
        <item m="1" x="32"/>
        <item m="1" x="36"/>
        <item m="1" x="16"/>
        <item m="1" x="21"/>
        <item m="1" x="25"/>
        <item x="12"/>
        <item m="1" x="27"/>
        <item m="1" x="29"/>
        <item x="11"/>
        <item x="9"/>
        <item x="0"/>
        <item m="1" x="23"/>
        <item m="1" x="35"/>
        <item x="8"/>
        <item x="5"/>
        <item x="2"/>
        <item x="7"/>
        <item x="1"/>
        <item m="1" x="17"/>
        <item m="1" x="18"/>
        <item x="4"/>
        <item m="1" x="34"/>
        <item x="6"/>
        <item x="3"/>
        <item x="10"/>
        <item m="1" x="22"/>
        <item x="15"/>
        <item m="1" x="33"/>
        <item t="default"/>
      </items>
    </pivotField>
    <pivotField axis="axisRow" showAll="0">
      <items count="76">
        <item m="1" x="31"/>
        <item m="1" x="59"/>
        <item m="1" x="65"/>
        <item m="1" x="39"/>
        <item m="1" x="66"/>
        <item m="1" x="44"/>
        <item x="23"/>
        <item m="1" x="37"/>
        <item m="1" x="63"/>
        <item m="1" x="61"/>
        <item m="1" x="33"/>
        <item x="6"/>
        <item x="10"/>
        <item m="1" x="51"/>
        <item x="4"/>
        <item m="1" x="72"/>
        <item m="1" x="43"/>
        <item m="1" x="54"/>
        <item m="1" x="47"/>
        <item x="18"/>
        <item m="1" x="71"/>
        <item m="1" x="48"/>
        <item x="19"/>
        <item x="22"/>
        <item m="1" x="49"/>
        <item m="1" x="32"/>
        <item x="27"/>
        <item m="1" x="64"/>
        <item m="1" x="36"/>
        <item m="1" x="40"/>
        <item m="1" x="41"/>
        <item m="1" x="46"/>
        <item m="1" x="42"/>
        <item m="1" x="55"/>
        <item m="1" x="56"/>
        <item m="1" x="34"/>
        <item x="3"/>
        <item x="1"/>
        <item m="1" x="74"/>
        <item m="1" x="35"/>
        <item m="1" x="69"/>
        <item m="1" x="50"/>
        <item m="1" x="67"/>
        <item m="1" x="57"/>
        <item m="1" x="58"/>
        <item m="1" x="52"/>
        <item m="1" x="53"/>
        <item m="1" x="45"/>
        <item m="1" x="60"/>
        <item x="0"/>
        <item m="1" x="38"/>
        <item m="1" x="68"/>
        <item m="1" x="73"/>
        <item x="2"/>
        <item x="20"/>
        <item m="1" x="62"/>
        <item m="1" x="70"/>
        <item x="5"/>
        <item x="7"/>
        <item x="8"/>
        <item x="9"/>
        <item x="11"/>
        <item x="12"/>
        <item x="13"/>
        <item x="14"/>
        <item x="15"/>
        <item x="16"/>
        <item x="17"/>
        <item x="21"/>
        <item x="24"/>
        <item x="25"/>
        <item x="26"/>
        <item x="28"/>
        <item x="29"/>
        <item x="30"/>
        <item t="default"/>
      </items>
    </pivotField>
    <pivotField showAll="0"/>
  </pivotFields>
  <rowFields count="2">
    <field x="4"/>
    <field x="7"/>
  </rowFields>
  <rowItems count="131">
    <i>
      <x v="12"/>
    </i>
    <i r="1">
      <x v="14"/>
    </i>
    <i r="1">
      <x v="22"/>
    </i>
    <i r="1">
      <x v="23"/>
    </i>
    <i r="1">
      <x v="26"/>
    </i>
    <i r="1">
      <x v="36"/>
    </i>
    <i r="1">
      <x v="37"/>
    </i>
    <i r="1">
      <x v="49"/>
    </i>
    <i r="1">
      <x v="53"/>
    </i>
    <i r="1">
      <x v="57"/>
    </i>
    <i r="1">
      <x v="59"/>
    </i>
    <i r="1">
      <x v="61"/>
    </i>
    <i r="1">
      <x v="68"/>
    </i>
    <i r="1">
      <x v="69"/>
    </i>
    <i r="1">
      <x v="71"/>
    </i>
    <i r="1">
      <x v="72"/>
    </i>
    <i>
      <x v="21"/>
    </i>
    <i r="1">
      <x v="12"/>
    </i>
    <i r="1">
      <x v="14"/>
    </i>
    <i r="1">
      <x v="23"/>
    </i>
    <i r="1">
      <x v="26"/>
    </i>
    <i r="1">
      <x v="36"/>
    </i>
    <i r="1">
      <x v="49"/>
    </i>
    <i r="1">
      <x v="53"/>
    </i>
    <i r="1">
      <x v="57"/>
    </i>
    <i r="1">
      <x v="59"/>
    </i>
    <i r="1">
      <x v="68"/>
    </i>
    <i r="1">
      <x v="69"/>
    </i>
    <i r="1">
      <x v="71"/>
    </i>
    <i>
      <x v="31"/>
    </i>
    <i r="1">
      <x v="37"/>
    </i>
    <i>
      <x v="47"/>
    </i>
    <i r="1">
      <x v="14"/>
    </i>
    <i r="1">
      <x v="36"/>
    </i>
    <i r="1">
      <x v="37"/>
    </i>
    <i r="1">
      <x v="49"/>
    </i>
    <i r="1">
      <x v="53"/>
    </i>
    <i r="1">
      <x v="57"/>
    </i>
    <i r="1">
      <x v="58"/>
    </i>
    <i r="1">
      <x v="59"/>
    </i>
    <i>
      <x v="2"/>
    </i>
    <i r="1">
      <x v="6"/>
    </i>
    <i r="1">
      <x v="12"/>
    </i>
    <i r="1">
      <x v="14"/>
    </i>
    <i r="1">
      <x v="22"/>
    </i>
    <i r="1">
      <x v="37"/>
    </i>
    <i r="1">
      <x v="49"/>
    </i>
    <i r="1">
      <x v="59"/>
    </i>
    <i>
      <x v="38"/>
    </i>
    <i r="1">
      <x v="6"/>
    </i>
    <i r="1">
      <x v="12"/>
    </i>
    <i r="1">
      <x v="23"/>
    </i>
    <i r="1">
      <x v="26"/>
    </i>
    <i r="1">
      <x v="36"/>
    </i>
    <i r="1">
      <x v="37"/>
    </i>
    <i r="1">
      <x v="49"/>
    </i>
    <i r="1">
      <x v="54"/>
    </i>
    <i r="1">
      <x v="57"/>
    </i>
    <i r="1">
      <x v="58"/>
    </i>
    <i r="1">
      <x v="59"/>
    </i>
    <i r="1">
      <x v="68"/>
    </i>
    <i r="1">
      <x v="71"/>
    </i>
    <i>
      <x v="6"/>
    </i>
    <i r="1">
      <x v="6"/>
    </i>
    <i r="1">
      <x v="12"/>
    </i>
    <i r="1">
      <x v="22"/>
    </i>
    <i r="1">
      <x v="23"/>
    </i>
    <i r="1">
      <x v="26"/>
    </i>
    <i r="1">
      <x v="37"/>
    </i>
    <i r="1">
      <x v="49"/>
    </i>
    <i r="1">
      <x v="53"/>
    </i>
    <i r="1">
      <x v="54"/>
    </i>
    <i r="1">
      <x v="57"/>
    </i>
    <i r="1">
      <x v="58"/>
    </i>
    <i r="1">
      <x v="59"/>
    </i>
    <i r="1">
      <x v="68"/>
    </i>
    <i r="1">
      <x v="69"/>
    </i>
    <i r="1">
      <x v="71"/>
    </i>
    <i>
      <x v="10"/>
    </i>
    <i r="1">
      <x v="6"/>
    </i>
    <i r="1">
      <x v="12"/>
    </i>
    <i r="1">
      <x v="14"/>
    </i>
    <i r="1">
      <x v="22"/>
    </i>
    <i r="1">
      <x v="49"/>
    </i>
    <i r="1">
      <x v="53"/>
    </i>
    <i r="1">
      <x v="54"/>
    </i>
    <i r="1">
      <x v="58"/>
    </i>
    <i r="1">
      <x v="71"/>
    </i>
    <i>
      <x v="14"/>
    </i>
    <i r="1">
      <x v="11"/>
    </i>
    <i r="1">
      <x v="19"/>
    </i>
    <i r="1">
      <x v="60"/>
    </i>
    <i r="1">
      <x v="61"/>
    </i>
    <i r="1">
      <x v="62"/>
    </i>
    <i r="1">
      <x v="64"/>
    </i>
    <i r="1">
      <x v="65"/>
    </i>
    <i r="1">
      <x v="66"/>
    </i>
    <i r="1">
      <x v="73"/>
    </i>
    <i r="1">
      <x v="74"/>
    </i>
    <i>
      <x v="29"/>
    </i>
    <i r="1">
      <x v="11"/>
    </i>
    <i r="1">
      <x v="19"/>
    </i>
    <i r="1">
      <x v="61"/>
    </i>
    <i r="1">
      <x v="62"/>
    </i>
    <i r="1">
      <x v="63"/>
    </i>
    <i r="1">
      <x v="64"/>
    </i>
    <i r="1">
      <x v="66"/>
    </i>
    <i r="1">
      <x v="67"/>
    </i>
    <i r="1">
      <x v="70"/>
    </i>
    <i r="1">
      <x v="73"/>
    </i>
    <i>
      <x v="19"/>
    </i>
    <i r="1">
      <x v="12"/>
    </i>
    <i r="1">
      <x v="23"/>
    </i>
    <i r="1">
      <x v="36"/>
    </i>
    <i r="1">
      <x v="37"/>
    </i>
    <i r="1">
      <x v="53"/>
    </i>
    <i r="1">
      <x v="54"/>
    </i>
    <i r="1">
      <x v="57"/>
    </i>
    <i r="1">
      <x v="58"/>
    </i>
    <i>
      <x v="9"/>
    </i>
    <i r="1">
      <x v="61"/>
    </i>
    <i r="1">
      <x v="67"/>
    </i>
    <i>
      <x v="48"/>
    </i>
    <i r="1">
      <x v="36"/>
    </i>
    <i r="1">
      <x v="57"/>
    </i>
    <i>
      <x v="50"/>
    </i>
    <i r="1">
      <x v="63"/>
    </i>
    <i>
      <x v="49"/>
    </i>
    <i r="1">
      <x v="58"/>
    </i>
    <i r="1">
      <x v="71"/>
    </i>
    <i t="grand">
      <x/>
    </i>
  </rowItems>
  <colFields count="1">
    <field x="2"/>
  </colFields>
  <colItems count="3">
    <i>
      <x/>
    </i>
    <i>
      <x v="1"/>
    </i>
    <i t="grand">
      <x/>
    </i>
  </colItems>
  <dataFields count="1">
    <dataField name="Average of In&amp;Out Qty" fld="6" subtotal="average" baseField="4" baseItem="2"/>
  </dataFields>
  <formats count="8">
    <format dxfId="55">
      <pivotArea collapsedLevelsAreSubtotals="1" fieldPosition="0">
        <references count="2">
          <reference field="4294967294" count="1" selected="0">
            <x v="0"/>
          </reference>
          <reference field="4" count="1">
            <x v="21"/>
          </reference>
        </references>
      </pivotArea>
    </format>
    <format dxfId="54">
      <pivotArea field="4" grandRow="1" outline="0" collapsedLevelsAreSubtotals="1" axis="axisRow" fieldPosition="0">
        <references count="1">
          <reference field="4294967294" count="1" selected="0">
            <x v="0"/>
          </reference>
        </references>
      </pivotArea>
    </format>
    <format dxfId="53">
      <pivotArea type="all" dataOnly="0" outline="0" fieldPosition="0"/>
    </format>
    <format dxfId="52">
      <pivotArea outline="0" collapsedLevelsAreSubtotals="1" fieldPosition="0"/>
    </format>
    <format dxfId="51">
      <pivotArea field="4" type="button" dataOnly="0" labelOnly="1" outline="0" axis="axisRow" fieldPosition="0"/>
    </format>
    <format dxfId="50">
      <pivotArea dataOnly="0" labelOnly="1" fieldPosition="0">
        <references count="1">
          <reference field="4" count="10">
            <x v="2"/>
            <x v="6"/>
            <x v="10"/>
            <x v="12"/>
            <x v="14"/>
            <x v="21"/>
            <x v="29"/>
            <x v="31"/>
            <x v="38"/>
            <x v="47"/>
          </reference>
        </references>
      </pivotArea>
    </format>
    <format dxfId="49">
      <pivotArea dataOnly="0" labelOnly="1" grandRow="1" outline="0" fieldPosition="0"/>
    </format>
    <format dxfId="48">
      <pivotArea dataOnly="0" labelOnly="1" outline="0" fieldPosition="0">
        <references count="1">
          <reference field="4294967294" count="1">
            <x v="0"/>
          </reference>
        </references>
      </pivotArea>
    </format>
  </formats>
  <chartFormats count="66">
    <chartFormat chart="0" format="0" series="1">
      <pivotArea type="data" outline="0" fieldPosition="0">
        <references count="1">
          <reference field="4294967294" count="1" selected="0">
            <x v="0"/>
          </reference>
        </references>
      </pivotArea>
    </chartFormat>
    <chartFormat chart="7" format="9" series="1">
      <pivotArea type="data" outline="0" fieldPosition="0">
        <references count="1">
          <reference field="4294967294" count="1" selected="0">
            <x v="0"/>
          </reference>
        </references>
      </pivotArea>
    </chartFormat>
    <chartFormat chart="9" format="9"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9" format="11" series="1">
      <pivotArea type="data" outline="0" fieldPosition="0">
        <references count="2">
          <reference field="4294967294" count="1" selected="0">
            <x v="0"/>
          </reference>
          <reference field="7" count="1" selected="0">
            <x v="11"/>
          </reference>
        </references>
      </pivotArea>
    </chartFormat>
    <chartFormat chart="9" format="12" series="1">
      <pivotArea type="data" outline="0" fieldPosition="0">
        <references count="2">
          <reference field="4294967294" count="1" selected="0">
            <x v="0"/>
          </reference>
          <reference field="7" count="1" selected="0">
            <x v="12"/>
          </reference>
        </references>
      </pivotArea>
    </chartFormat>
    <chartFormat chart="9" format="13" series="1">
      <pivotArea type="data" outline="0" fieldPosition="0">
        <references count="2">
          <reference field="4294967294" count="1" selected="0">
            <x v="0"/>
          </reference>
          <reference field="7" count="1" selected="0">
            <x v="14"/>
          </reference>
        </references>
      </pivotArea>
    </chartFormat>
    <chartFormat chart="9" format="14" series="1">
      <pivotArea type="data" outline="0" fieldPosition="0">
        <references count="2">
          <reference field="4294967294" count="1" selected="0">
            <x v="0"/>
          </reference>
          <reference field="7" count="1" selected="0">
            <x v="19"/>
          </reference>
        </references>
      </pivotArea>
    </chartFormat>
    <chartFormat chart="9" format="15" series="1">
      <pivotArea type="data" outline="0" fieldPosition="0">
        <references count="2">
          <reference field="4294967294" count="1" selected="0">
            <x v="0"/>
          </reference>
          <reference field="7" count="1" selected="0">
            <x v="22"/>
          </reference>
        </references>
      </pivotArea>
    </chartFormat>
    <chartFormat chart="9" format="16" series="1">
      <pivotArea type="data" outline="0" fieldPosition="0">
        <references count="2">
          <reference field="4294967294" count="1" selected="0">
            <x v="0"/>
          </reference>
          <reference field="7" count="1" selected="0">
            <x v="23"/>
          </reference>
        </references>
      </pivotArea>
    </chartFormat>
    <chartFormat chart="9" format="17" series="1">
      <pivotArea type="data" outline="0" fieldPosition="0">
        <references count="2">
          <reference field="4294967294" count="1" selected="0">
            <x v="0"/>
          </reference>
          <reference field="7" count="1" selected="0">
            <x v="26"/>
          </reference>
        </references>
      </pivotArea>
    </chartFormat>
    <chartFormat chart="9" format="18" series="1">
      <pivotArea type="data" outline="0" fieldPosition="0">
        <references count="2">
          <reference field="4294967294" count="1" selected="0">
            <x v="0"/>
          </reference>
          <reference field="7" count="1" selected="0">
            <x v="36"/>
          </reference>
        </references>
      </pivotArea>
    </chartFormat>
    <chartFormat chart="9" format="19" series="1">
      <pivotArea type="data" outline="0" fieldPosition="0">
        <references count="2">
          <reference field="4294967294" count="1" selected="0">
            <x v="0"/>
          </reference>
          <reference field="7" count="1" selected="0">
            <x v="37"/>
          </reference>
        </references>
      </pivotArea>
    </chartFormat>
    <chartFormat chart="9" format="20" series="1">
      <pivotArea type="data" outline="0" fieldPosition="0">
        <references count="2">
          <reference field="4294967294" count="1" selected="0">
            <x v="0"/>
          </reference>
          <reference field="7" count="1" selected="0">
            <x v="49"/>
          </reference>
        </references>
      </pivotArea>
    </chartFormat>
    <chartFormat chart="9" format="21" series="1">
      <pivotArea type="data" outline="0" fieldPosition="0">
        <references count="2">
          <reference field="4294967294" count="1" selected="0">
            <x v="0"/>
          </reference>
          <reference field="7" count="1" selected="0">
            <x v="53"/>
          </reference>
        </references>
      </pivotArea>
    </chartFormat>
    <chartFormat chart="9" format="22" series="1">
      <pivotArea type="data" outline="0" fieldPosition="0">
        <references count="2">
          <reference field="4294967294" count="1" selected="0">
            <x v="0"/>
          </reference>
          <reference field="7" count="1" selected="0">
            <x v="54"/>
          </reference>
        </references>
      </pivotArea>
    </chartFormat>
    <chartFormat chart="9" format="23" series="1">
      <pivotArea type="data" outline="0" fieldPosition="0">
        <references count="2">
          <reference field="4294967294" count="1" selected="0">
            <x v="0"/>
          </reference>
          <reference field="7" count="1" selected="0">
            <x v="57"/>
          </reference>
        </references>
      </pivotArea>
    </chartFormat>
    <chartFormat chart="9" format="24" series="1">
      <pivotArea type="data" outline="0" fieldPosition="0">
        <references count="2">
          <reference field="4294967294" count="1" selected="0">
            <x v="0"/>
          </reference>
          <reference field="7" count="1" selected="0">
            <x v="58"/>
          </reference>
        </references>
      </pivotArea>
    </chartFormat>
    <chartFormat chart="9" format="25" series="1">
      <pivotArea type="data" outline="0" fieldPosition="0">
        <references count="2">
          <reference field="4294967294" count="1" selected="0">
            <x v="0"/>
          </reference>
          <reference field="7" count="1" selected="0">
            <x v="59"/>
          </reference>
        </references>
      </pivotArea>
    </chartFormat>
    <chartFormat chart="9" format="26" series="1">
      <pivotArea type="data" outline="0" fieldPosition="0">
        <references count="2">
          <reference field="4294967294" count="1" selected="0">
            <x v="0"/>
          </reference>
          <reference field="7" count="1" selected="0">
            <x v="60"/>
          </reference>
        </references>
      </pivotArea>
    </chartFormat>
    <chartFormat chart="9" format="27" series="1">
      <pivotArea type="data" outline="0" fieldPosition="0">
        <references count="2">
          <reference field="4294967294" count="1" selected="0">
            <x v="0"/>
          </reference>
          <reference field="7" count="1" selected="0">
            <x v="61"/>
          </reference>
        </references>
      </pivotArea>
    </chartFormat>
    <chartFormat chart="9" format="28" series="1">
      <pivotArea type="data" outline="0" fieldPosition="0">
        <references count="2">
          <reference field="4294967294" count="1" selected="0">
            <x v="0"/>
          </reference>
          <reference field="7" count="1" selected="0">
            <x v="62"/>
          </reference>
        </references>
      </pivotArea>
    </chartFormat>
    <chartFormat chart="9" format="29" series="1">
      <pivotArea type="data" outline="0" fieldPosition="0">
        <references count="2">
          <reference field="4294967294" count="1" selected="0">
            <x v="0"/>
          </reference>
          <reference field="7" count="1" selected="0">
            <x v="63"/>
          </reference>
        </references>
      </pivotArea>
    </chartFormat>
    <chartFormat chart="9" format="30" series="1">
      <pivotArea type="data" outline="0" fieldPosition="0">
        <references count="2">
          <reference field="4294967294" count="1" selected="0">
            <x v="0"/>
          </reference>
          <reference field="7" count="1" selected="0">
            <x v="64"/>
          </reference>
        </references>
      </pivotArea>
    </chartFormat>
    <chartFormat chart="9" format="31" series="1">
      <pivotArea type="data" outline="0" fieldPosition="0">
        <references count="2">
          <reference field="4294967294" count="1" selected="0">
            <x v="0"/>
          </reference>
          <reference field="7" count="1" selected="0">
            <x v="65"/>
          </reference>
        </references>
      </pivotArea>
    </chartFormat>
    <chartFormat chart="9" format="32" series="1">
      <pivotArea type="data" outline="0" fieldPosition="0">
        <references count="2">
          <reference field="4294967294" count="1" selected="0">
            <x v="0"/>
          </reference>
          <reference field="7" count="1" selected="0">
            <x v="66"/>
          </reference>
        </references>
      </pivotArea>
    </chartFormat>
    <chartFormat chart="9" format="33" series="1">
      <pivotArea type="data" outline="0" fieldPosition="0">
        <references count="2">
          <reference field="4294967294" count="1" selected="0">
            <x v="0"/>
          </reference>
          <reference field="7" count="1" selected="0">
            <x v="67"/>
          </reference>
        </references>
      </pivotArea>
    </chartFormat>
    <chartFormat chart="9" format="34" series="1">
      <pivotArea type="data" outline="0" fieldPosition="0">
        <references count="2">
          <reference field="4294967294" count="1" selected="0">
            <x v="0"/>
          </reference>
          <reference field="7" count="1" selected="0">
            <x v="68"/>
          </reference>
        </references>
      </pivotArea>
    </chartFormat>
    <chartFormat chart="9" format="35" series="1">
      <pivotArea type="data" outline="0" fieldPosition="0">
        <references count="2">
          <reference field="4294967294" count="1" selected="0">
            <x v="0"/>
          </reference>
          <reference field="7" count="1" selected="0">
            <x v="69"/>
          </reference>
        </references>
      </pivotArea>
    </chartFormat>
    <chartFormat chart="9" format="36" series="1">
      <pivotArea type="data" outline="0" fieldPosition="0">
        <references count="2">
          <reference field="4294967294" count="1" selected="0">
            <x v="0"/>
          </reference>
          <reference field="7" count="1" selected="0">
            <x v="70"/>
          </reference>
        </references>
      </pivotArea>
    </chartFormat>
    <chartFormat chart="9" format="37" series="1">
      <pivotArea type="data" outline="0" fieldPosition="0">
        <references count="2">
          <reference field="4294967294" count="1" selected="0">
            <x v="0"/>
          </reference>
          <reference field="7" count="1" selected="0">
            <x v="71"/>
          </reference>
        </references>
      </pivotArea>
    </chartFormat>
    <chartFormat chart="9" format="38" series="1">
      <pivotArea type="data" outline="0" fieldPosition="0">
        <references count="2">
          <reference field="4294967294" count="1" selected="0">
            <x v="0"/>
          </reference>
          <reference field="7" count="1" selected="0">
            <x v="72"/>
          </reference>
        </references>
      </pivotArea>
    </chartFormat>
    <chartFormat chart="9" format="39" series="1">
      <pivotArea type="data" outline="0" fieldPosition="0">
        <references count="2">
          <reference field="4294967294" count="1" selected="0">
            <x v="0"/>
          </reference>
          <reference field="7" count="1" selected="0">
            <x v="73"/>
          </reference>
        </references>
      </pivotArea>
    </chartFormat>
    <chartFormat chart="9" format="40" series="1">
      <pivotArea type="data" outline="0" fieldPosition="0">
        <references count="2">
          <reference field="4294967294" count="1" selected="0">
            <x v="0"/>
          </reference>
          <reference field="7" count="1" selected="0">
            <x v="74"/>
          </reference>
        </references>
      </pivotArea>
    </chartFormat>
    <chartFormat chart="2" format="8" series="1">
      <pivotArea type="data" outline="0" fieldPosition="0">
        <references count="2">
          <reference field="4294967294" count="1" selected="0">
            <x v="0"/>
          </reference>
          <reference field="7" count="1" selected="0">
            <x v="11"/>
          </reference>
        </references>
      </pivotArea>
    </chartFormat>
    <chartFormat chart="2" format="9" series="1">
      <pivotArea type="data" outline="0" fieldPosition="0">
        <references count="2">
          <reference field="4294967294" count="1" selected="0">
            <x v="0"/>
          </reference>
          <reference field="7" count="1" selected="0">
            <x v="12"/>
          </reference>
        </references>
      </pivotArea>
    </chartFormat>
    <chartFormat chart="2" format="10" series="1">
      <pivotArea type="data" outline="0" fieldPosition="0">
        <references count="2">
          <reference field="4294967294" count="1" selected="0">
            <x v="0"/>
          </reference>
          <reference field="7" count="1" selected="0">
            <x v="14"/>
          </reference>
        </references>
      </pivotArea>
    </chartFormat>
    <chartFormat chart="2" format="11" series="1">
      <pivotArea type="data" outline="0" fieldPosition="0">
        <references count="2">
          <reference field="4294967294" count="1" selected="0">
            <x v="0"/>
          </reference>
          <reference field="7" count="1" selected="0">
            <x v="19"/>
          </reference>
        </references>
      </pivotArea>
    </chartFormat>
    <chartFormat chart="2" format="12" series="1">
      <pivotArea type="data" outline="0" fieldPosition="0">
        <references count="2">
          <reference field="4294967294" count="1" selected="0">
            <x v="0"/>
          </reference>
          <reference field="7" count="1" selected="0">
            <x v="22"/>
          </reference>
        </references>
      </pivotArea>
    </chartFormat>
    <chartFormat chart="2" format="13" series="1">
      <pivotArea type="data" outline="0" fieldPosition="0">
        <references count="2">
          <reference field="4294967294" count="1" selected="0">
            <x v="0"/>
          </reference>
          <reference field="7" count="1" selected="0">
            <x v="23"/>
          </reference>
        </references>
      </pivotArea>
    </chartFormat>
    <chartFormat chart="2" format="14" series="1">
      <pivotArea type="data" outline="0" fieldPosition="0">
        <references count="2">
          <reference field="4294967294" count="1" selected="0">
            <x v="0"/>
          </reference>
          <reference field="7" count="1" selected="0">
            <x v="26"/>
          </reference>
        </references>
      </pivotArea>
    </chartFormat>
    <chartFormat chart="2" format="15" series="1">
      <pivotArea type="data" outline="0" fieldPosition="0">
        <references count="2">
          <reference field="4294967294" count="1" selected="0">
            <x v="0"/>
          </reference>
          <reference field="7" count="1" selected="0">
            <x v="36"/>
          </reference>
        </references>
      </pivotArea>
    </chartFormat>
    <chartFormat chart="2" format="16" series="1">
      <pivotArea type="data" outline="0" fieldPosition="0">
        <references count="2">
          <reference field="4294967294" count="1" selected="0">
            <x v="0"/>
          </reference>
          <reference field="7" count="1" selected="0">
            <x v="37"/>
          </reference>
        </references>
      </pivotArea>
    </chartFormat>
    <chartFormat chart="2" format="17" series="1">
      <pivotArea type="data" outline="0" fieldPosition="0">
        <references count="2">
          <reference field="4294967294" count="1" selected="0">
            <x v="0"/>
          </reference>
          <reference field="7" count="1" selected="0">
            <x v="49"/>
          </reference>
        </references>
      </pivotArea>
    </chartFormat>
    <chartFormat chart="2" format="18" series="1">
      <pivotArea type="data" outline="0" fieldPosition="0">
        <references count="2">
          <reference field="4294967294" count="1" selected="0">
            <x v="0"/>
          </reference>
          <reference field="7" count="1" selected="0">
            <x v="53"/>
          </reference>
        </references>
      </pivotArea>
    </chartFormat>
    <chartFormat chart="2" format="19" series="1">
      <pivotArea type="data" outline="0" fieldPosition="0">
        <references count="2">
          <reference field="4294967294" count="1" selected="0">
            <x v="0"/>
          </reference>
          <reference field="7" count="1" selected="0">
            <x v="54"/>
          </reference>
        </references>
      </pivotArea>
    </chartFormat>
    <chartFormat chart="2" format="20" series="1">
      <pivotArea type="data" outline="0" fieldPosition="0">
        <references count="2">
          <reference field="4294967294" count="1" selected="0">
            <x v="0"/>
          </reference>
          <reference field="7" count="1" selected="0">
            <x v="57"/>
          </reference>
        </references>
      </pivotArea>
    </chartFormat>
    <chartFormat chart="2" format="21" series="1">
      <pivotArea type="data" outline="0" fieldPosition="0">
        <references count="2">
          <reference field="4294967294" count="1" selected="0">
            <x v="0"/>
          </reference>
          <reference field="7" count="1" selected="0">
            <x v="58"/>
          </reference>
        </references>
      </pivotArea>
    </chartFormat>
    <chartFormat chart="2" format="22" series="1">
      <pivotArea type="data" outline="0" fieldPosition="0">
        <references count="2">
          <reference field="4294967294" count="1" selected="0">
            <x v="0"/>
          </reference>
          <reference field="7" count="1" selected="0">
            <x v="59"/>
          </reference>
        </references>
      </pivotArea>
    </chartFormat>
    <chartFormat chart="2" format="23" series="1">
      <pivotArea type="data" outline="0" fieldPosition="0">
        <references count="2">
          <reference field="4294967294" count="1" selected="0">
            <x v="0"/>
          </reference>
          <reference field="7" count="1" selected="0">
            <x v="60"/>
          </reference>
        </references>
      </pivotArea>
    </chartFormat>
    <chartFormat chart="2" format="24" series="1">
      <pivotArea type="data" outline="0" fieldPosition="0">
        <references count="2">
          <reference field="4294967294" count="1" selected="0">
            <x v="0"/>
          </reference>
          <reference field="7" count="1" selected="0">
            <x v="61"/>
          </reference>
        </references>
      </pivotArea>
    </chartFormat>
    <chartFormat chart="2" format="25" series="1">
      <pivotArea type="data" outline="0" fieldPosition="0">
        <references count="2">
          <reference field="4294967294" count="1" selected="0">
            <x v="0"/>
          </reference>
          <reference field="7" count="1" selected="0">
            <x v="62"/>
          </reference>
        </references>
      </pivotArea>
    </chartFormat>
    <chartFormat chart="2" format="26" series="1">
      <pivotArea type="data" outline="0" fieldPosition="0">
        <references count="2">
          <reference field="4294967294" count="1" selected="0">
            <x v="0"/>
          </reference>
          <reference field="7" count="1" selected="0">
            <x v="63"/>
          </reference>
        </references>
      </pivotArea>
    </chartFormat>
    <chartFormat chart="2" format="27" series="1">
      <pivotArea type="data" outline="0" fieldPosition="0">
        <references count="2">
          <reference field="4294967294" count="1" selected="0">
            <x v="0"/>
          </reference>
          <reference field="7" count="1" selected="0">
            <x v="64"/>
          </reference>
        </references>
      </pivotArea>
    </chartFormat>
    <chartFormat chart="2" format="28" series="1">
      <pivotArea type="data" outline="0" fieldPosition="0">
        <references count="2">
          <reference field="4294967294" count="1" selected="0">
            <x v="0"/>
          </reference>
          <reference field="7" count="1" selected="0">
            <x v="65"/>
          </reference>
        </references>
      </pivotArea>
    </chartFormat>
    <chartFormat chart="2" format="29" series="1">
      <pivotArea type="data" outline="0" fieldPosition="0">
        <references count="2">
          <reference field="4294967294" count="1" selected="0">
            <x v="0"/>
          </reference>
          <reference field="7" count="1" selected="0">
            <x v="66"/>
          </reference>
        </references>
      </pivotArea>
    </chartFormat>
    <chartFormat chart="2" format="30" series="1">
      <pivotArea type="data" outline="0" fieldPosition="0">
        <references count="2">
          <reference field="4294967294" count="1" selected="0">
            <x v="0"/>
          </reference>
          <reference field="7" count="1" selected="0">
            <x v="67"/>
          </reference>
        </references>
      </pivotArea>
    </chartFormat>
    <chartFormat chart="2" format="31" series="1">
      <pivotArea type="data" outline="0" fieldPosition="0">
        <references count="2">
          <reference field="4294967294" count="1" selected="0">
            <x v="0"/>
          </reference>
          <reference field="7" count="1" selected="0">
            <x v="68"/>
          </reference>
        </references>
      </pivotArea>
    </chartFormat>
    <chartFormat chart="2" format="32" series="1">
      <pivotArea type="data" outline="0" fieldPosition="0">
        <references count="2">
          <reference field="4294967294" count="1" selected="0">
            <x v="0"/>
          </reference>
          <reference field="7" count="1" selected="0">
            <x v="69"/>
          </reference>
        </references>
      </pivotArea>
    </chartFormat>
    <chartFormat chart="2" format="33" series="1">
      <pivotArea type="data" outline="0" fieldPosition="0">
        <references count="2">
          <reference field="4294967294" count="1" selected="0">
            <x v="0"/>
          </reference>
          <reference field="7" count="1" selected="0">
            <x v="70"/>
          </reference>
        </references>
      </pivotArea>
    </chartFormat>
    <chartFormat chart="2" format="34" series="1">
      <pivotArea type="data" outline="0" fieldPosition="0">
        <references count="2">
          <reference field="4294967294" count="1" selected="0">
            <x v="0"/>
          </reference>
          <reference field="7" count="1" selected="0">
            <x v="71"/>
          </reference>
        </references>
      </pivotArea>
    </chartFormat>
    <chartFormat chart="2" format="35" series="1">
      <pivotArea type="data" outline="0" fieldPosition="0">
        <references count="2">
          <reference field="4294967294" count="1" selected="0">
            <x v="0"/>
          </reference>
          <reference field="7" count="1" selected="0">
            <x v="72"/>
          </reference>
        </references>
      </pivotArea>
    </chartFormat>
    <chartFormat chart="2" format="36" series="1">
      <pivotArea type="data" outline="0" fieldPosition="0">
        <references count="2">
          <reference field="4294967294" count="1" selected="0">
            <x v="0"/>
          </reference>
          <reference field="7" count="1" selected="0">
            <x v="73"/>
          </reference>
        </references>
      </pivotArea>
    </chartFormat>
    <chartFormat chart="2" format="37" series="1">
      <pivotArea type="data" outline="0" fieldPosition="0">
        <references count="2">
          <reference field="4294967294" count="1" selected="0">
            <x v="0"/>
          </reference>
          <reference field="7" count="1" selected="0">
            <x v="74"/>
          </reference>
        </references>
      </pivotArea>
    </chartFormat>
    <chartFormat chart="2" format="38" series="1">
      <pivotArea type="data" outline="0" fieldPosition="0">
        <references count="2">
          <reference field="4294967294" count="1" selected="0">
            <x v="0"/>
          </reference>
          <reference field="2" count="1" selected="0">
            <x v="1"/>
          </reference>
        </references>
      </pivotArea>
    </chartFormat>
    <chartFormat chart="9" format="41" series="1">
      <pivotArea type="data" outline="0" fieldPosition="0">
        <references count="2">
          <reference field="4294967294" count="1" selected="0">
            <x v="0"/>
          </reference>
          <reference field="2" count="1" selected="0">
            <x v="1"/>
          </reference>
        </references>
      </pivotArea>
    </chartFormat>
  </chartFormats>
  <pivotTableStyleInfo name="PivotStyleLight16" showRowHeaders="1" showColHeaders="1" showRowStripes="0" showColStripes="0" showLastColumn="1"/>
  <filters count="1">
    <filter fld="0" type="dateBetween" evalOrder="-1" id="8" name="Date">
      <autoFilter ref="A1">
        <filterColumn colId="0">
          <customFilters and="1">
            <customFilter operator="greaterThanOrEqual" val="45839"/>
            <customFilter operator="lessThanOrEqual" val="45869"/>
          </customFilters>
        </filterColumn>
      </autoFilter>
      <extLst>
        <ext xmlns:x15="http://schemas.microsoft.com/office/spreadsheetml/2010/11/main" uri="{0605FD5F-26C8-4aeb-8148-2DB25E43C511}">
          <x15:pivotFilter useWholeDay="1"/>
        </ext>
      </extLst>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11">
  <location ref="A6:B222" firstHeaderRow="1" firstDataRow="1" firstDataCol="1" rowPageCount="1" colPageCount="1"/>
  <pivotFields count="9">
    <pivotField axis="axisRow" numFmtId="14" showAll="0">
      <items count="14">
        <item x="0"/>
        <item x="1"/>
        <item x="2"/>
        <item x="3"/>
        <item x="4"/>
        <item x="5"/>
        <item x="6"/>
        <item x="7"/>
        <item x="8"/>
        <item x="9"/>
        <item x="10"/>
        <item x="11"/>
        <item x="12"/>
        <item t="default"/>
      </items>
    </pivotField>
    <pivotField showAll="0"/>
    <pivotField axis="axisPage" showAll="0">
      <items count="5">
        <item x="0"/>
        <item x="1"/>
        <item m="1" x="3"/>
        <item m="1" x="2"/>
        <item t="default"/>
      </items>
    </pivotField>
    <pivotField showAll="0"/>
    <pivotField axis="axisRow" showAll="0" measureFilter="1" sortType="descending">
      <items count="52">
        <item m="1" x="35"/>
        <item m="1" x="39"/>
        <item x="2"/>
        <item m="1" x="44"/>
        <item m="1" x="15"/>
        <item m="1" x="31"/>
        <item x="3"/>
        <item m="1" x="50"/>
        <item m="1" x="37"/>
        <item x="13"/>
        <item x="8"/>
        <item m="1" x="24"/>
        <item x="5"/>
        <item m="1" x="48"/>
        <item x="10"/>
        <item m="1" x="26"/>
        <item m="1" x="34"/>
        <item m="1" x="27"/>
        <item m="1" x="20"/>
        <item x="7"/>
        <item m="1" x="23"/>
        <item x="0"/>
        <item m="1" x="40"/>
        <item m="1" x="33"/>
        <item m="1" x="47"/>
        <item m="1" x="32"/>
        <item m="1" x="38"/>
        <item m="1" x="19"/>
        <item m="1" x="25"/>
        <item x="11"/>
        <item m="1" x="29"/>
        <item x="6"/>
        <item m="1" x="43"/>
        <item m="1" x="21"/>
        <item m="1" x="42"/>
        <item m="1" x="49"/>
        <item m="1" x="17"/>
        <item m="1" x="46"/>
        <item x="1"/>
        <item m="1" x="18"/>
        <item m="1" x="30"/>
        <item m="1" x="28"/>
        <item m="1" x="22"/>
        <item m="1" x="36"/>
        <item m="1" x="45"/>
        <item m="1" x="41"/>
        <item m="1" x="16"/>
        <item x="4"/>
        <item x="9"/>
        <item x="12"/>
        <item x="14"/>
        <item t="default"/>
      </items>
      <autoSortScope>
        <pivotArea dataOnly="0" outline="0" fieldPosition="0">
          <references count="1">
            <reference field="4294967294" count="1" selected="0">
              <x v="0"/>
            </reference>
          </references>
        </pivotArea>
      </autoSortScope>
    </pivotField>
    <pivotField showAll="0"/>
    <pivotField dataField="1" showAll="0">
      <items count="39">
        <item m="1" x="30"/>
        <item m="1" x="24"/>
        <item m="1" x="31"/>
        <item m="1" x="37"/>
        <item m="1" x="19"/>
        <item m="1" x="26"/>
        <item m="1" x="28"/>
        <item x="13"/>
        <item m="1" x="20"/>
        <item x="14"/>
        <item m="1" x="32"/>
        <item m="1" x="36"/>
        <item m="1" x="16"/>
        <item m="1" x="21"/>
        <item m="1" x="25"/>
        <item x="12"/>
        <item m="1" x="27"/>
        <item m="1" x="29"/>
        <item x="11"/>
        <item x="9"/>
        <item x="0"/>
        <item m="1" x="23"/>
        <item m="1" x="35"/>
        <item x="8"/>
        <item x="5"/>
        <item x="2"/>
        <item x="7"/>
        <item x="1"/>
        <item m="1" x="17"/>
        <item m="1" x="18"/>
        <item x="4"/>
        <item m="1" x="34"/>
        <item x="6"/>
        <item x="3"/>
        <item x="10"/>
        <item m="1" x="22"/>
        <item x="15"/>
        <item m="1" x="33"/>
        <item t="default"/>
      </items>
    </pivotField>
    <pivotField axis="axisRow" showAll="0">
      <items count="76">
        <item m="1" x="31"/>
        <item m="1" x="59"/>
        <item m="1" x="65"/>
        <item m="1" x="39"/>
        <item m="1" x="66"/>
        <item m="1" x="44"/>
        <item x="23"/>
        <item m="1" x="37"/>
        <item m="1" x="63"/>
        <item m="1" x="61"/>
        <item m="1" x="33"/>
        <item x="6"/>
        <item x="10"/>
        <item m="1" x="51"/>
        <item x="4"/>
        <item m="1" x="72"/>
        <item m="1" x="43"/>
        <item m="1" x="54"/>
        <item m="1" x="47"/>
        <item x="18"/>
        <item m="1" x="71"/>
        <item m="1" x="48"/>
        <item x="19"/>
        <item x="22"/>
        <item m="1" x="49"/>
        <item m="1" x="32"/>
        <item x="27"/>
        <item m="1" x="64"/>
        <item m="1" x="36"/>
        <item m="1" x="40"/>
        <item m="1" x="41"/>
        <item m="1" x="46"/>
        <item m="1" x="42"/>
        <item m="1" x="55"/>
        <item m="1" x="56"/>
        <item m="1" x="34"/>
        <item x="3"/>
        <item x="1"/>
        <item m="1" x="74"/>
        <item m="1" x="35"/>
        <item m="1" x="69"/>
        <item m="1" x="50"/>
        <item m="1" x="67"/>
        <item m="1" x="57"/>
        <item m="1" x="58"/>
        <item m="1" x="52"/>
        <item m="1" x="53"/>
        <item m="1" x="45"/>
        <item m="1" x="60"/>
        <item x="0"/>
        <item m="1" x="38"/>
        <item m="1" x="68"/>
        <item m="1" x="73"/>
        <item x="2"/>
        <item x="20"/>
        <item m="1" x="62"/>
        <item m="1" x="70"/>
        <item x="5"/>
        <item x="7"/>
        <item x="8"/>
        <item x="9"/>
        <item x="11"/>
        <item x="12"/>
        <item x="13"/>
        <item x="14"/>
        <item x="15"/>
        <item x="16"/>
        <item x="17"/>
        <item x="21"/>
        <item x="24"/>
        <item x="25"/>
        <item x="26"/>
        <item x="28"/>
        <item x="29"/>
        <item x="30"/>
        <item t="default"/>
      </items>
    </pivotField>
    <pivotField showAll="0"/>
  </pivotFields>
  <rowFields count="3">
    <field x="4"/>
    <field x="7"/>
    <field x="0"/>
  </rowFields>
  <rowItems count="216">
    <i>
      <x v="12"/>
    </i>
    <i r="1">
      <x v="14"/>
    </i>
    <i r="2">
      <x v="1"/>
    </i>
    <i r="2">
      <x v="7"/>
    </i>
    <i r="1">
      <x v="22"/>
    </i>
    <i r="2">
      <x v="7"/>
    </i>
    <i r="1">
      <x v="23"/>
    </i>
    <i r="2">
      <x v="9"/>
    </i>
    <i r="1">
      <x v="26"/>
    </i>
    <i r="2">
      <x v="10"/>
    </i>
    <i r="1">
      <x v="36"/>
    </i>
    <i r="2">
      <x/>
    </i>
    <i r="2">
      <x v="8"/>
    </i>
    <i r="1">
      <x v="37"/>
    </i>
    <i r="2">
      <x/>
    </i>
    <i r="1">
      <x v="49"/>
    </i>
    <i r="2">
      <x v="2"/>
    </i>
    <i r="1">
      <x v="53"/>
    </i>
    <i r="2">
      <x/>
    </i>
    <i r="1">
      <x v="57"/>
    </i>
    <i r="2">
      <x v="2"/>
    </i>
    <i r="1">
      <x v="59"/>
    </i>
    <i r="2">
      <x v="3"/>
    </i>
    <i r="1">
      <x v="61"/>
    </i>
    <i r="2">
      <x v="5"/>
    </i>
    <i r="1">
      <x v="68"/>
    </i>
    <i r="2">
      <x v="12"/>
    </i>
    <i r="1">
      <x v="69"/>
    </i>
    <i r="2">
      <x v="10"/>
    </i>
    <i r="1">
      <x v="71"/>
    </i>
    <i r="2">
      <x v="10"/>
    </i>
    <i r="1">
      <x v="72"/>
    </i>
    <i r="2">
      <x v="11"/>
    </i>
    <i>
      <x v="21"/>
    </i>
    <i r="1">
      <x v="12"/>
    </i>
    <i r="2">
      <x v="4"/>
    </i>
    <i r="1">
      <x v="14"/>
    </i>
    <i r="2">
      <x v="1"/>
    </i>
    <i r="2">
      <x v="7"/>
    </i>
    <i r="1">
      <x v="23"/>
    </i>
    <i r="2">
      <x v="9"/>
    </i>
    <i r="1">
      <x v="26"/>
    </i>
    <i r="2">
      <x v="10"/>
    </i>
    <i r="1">
      <x v="36"/>
    </i>
    <i r="2">
      <x/>
    </i>
    <i r="1">
      <x v="49"/>
    </i>
    <i r="2">
      <x/>
    </i>
    <i r="1">
      <x v="53"/>
    </i>
    <i r="2">
      <x/>
    </i>
    <i r="1">
      <x v="57"/>
    </i>
    <i r="2">
      <x v="2"/>
    </i>
    <i r="1">
      <x v="59"/>
    </i>
    <i r="2">
      <x v="3"/>
    </i>
    <i r="1">
      <x v="68"/>
    </i>
    <i r="2">
      <x v="12"/>
    </i>
    <i r="1">
      <x v="69"/>
    </i>
    <i r="2">
      <x v="10"/>
    </i>
    <i r="1">
      <x v="71"/>
    </i>
    <i r="2">
      <x v="11"/>
    </i>
    <i>
      <x v="31"/>
    </i>
    <i r="1">
      <x v="37"/>
    </i>
    <i r="2">
      <x/>
    </i>
    <i>
      <x v="29"/>
    </i>
    <i r="1">
      <x v="11"/>
    </i>
    <i r="2">
      <x v="3"/>
    </i>
    <i r="1">
      <x v="19"/>
    </i>
    <i r="2">
      <x v="7"/>
    </i>
    <i r="1">
      <x v="61"/>
    </i>
    <i r="2">
      <x v="5"/>
    </i>
    <i r="1">
      <x v="62"/>
    </i>
    <i r="2">
      <x v="5"/>
    </i>
    <i r="1">
      <x v="63"/>
    </i>
    <i r="2">
      <x v="5"/>
    </i>
    <i r="1">
      <x v="64"/>
    </i>
    <i r="2">
      <x v="5"/>
    </i>
    <i r="1">
      <x v="66"/>
    </i>
    <i r="2">
      <x v="6"/>
    </i>
    <i r="1">
      <x v="67"/>
    </i>
    <i r="2">
      <x v="6"/>
    </i>
    <i r="1">
      <x v="70"/>
    </i>
    <i r="2">
      <x v="10"/>
    </i>
    <i r="1">
      <x v="73"/>
    </i>
    <i r="2">
      <x v="11"/>
    </i>
    <i>
      <x v="6"/>
    </i>
    <i r="1">
      <x v="6"/>
    </i>
    <i r="2">
      <x v="10"/>
    </i>
    <i r="1">
      <x v="12"/>
    </i>
    <i r="2">
      <x v="4"/>
    </i>
    <i r="1">
      <x v="22"/>
    </i>
    <i r="2">
      <x v="7"/>
    </i>
    <i r="1">
      <x v="23"/>
    </i>
    <i r="2">
      <x v="9"/>
    </i>
    <i r="1">
      <x v="26"/>
    </i>
    <i r="2">
      <x v="10"/>
    </i>
    <i r="1">
      <x v="37"/>
    </i>
    <i r="2">
      <x/>
    </i>
    <i r="1">
      <x v="49"/>
    </i>
    <i r="2">
      <x v="9"/>
    </i>
    <i r="1">
      <x v="53"/>
    </i>
    <i r="2">
      <x/>
    </i>
    <i r="1">
      <x v="54"/>
    </i>
    <i r="2">
      <x v="8"/>
    </i>
    <i r="1">
      <x v="57"/>
    </i>
    <i r="2">
      <x v="2"/>
    </i>
    <i r="1">
      <x v="58"/>
    </i>
    <i r="2">
      <x v="3"/>
    </i>
    <i r="1">
      <x v="59"/>
    </i>
    <i r="2">
      <x v="3"/>
    </i>
    <i r="1">
      <x v="68"/>
    </i>
    <i r="2">
      <x v="9"/>
    </i>
    <i r="1">
      <x v="69"/>
    </i>
    <i r="2">
      <x v="10"/>
    </i>
    <i r="1">
      <x v="71"/>
    </i>
    <i r="2">
      <x v="10"/>
    </i>
    <i>
      <x v="38"/>
    </i>
    <i r="1">
      <x v="6"/>
    </i>
    <i r="2">
      <x v="10"/>
    </i>
    <i r="1">
      <x v="12"/>
    </i>
    <i r="2">
      <x v="4"/>
    </i>
    <i r="1">
      <x v="23"/>
    </i>
    <i r="2">
      <x v="9"/>
    </i>
    <i r="1">
      <x v="26"/>
    </i>
    <i r="2">
      <x v="10"/>
    </i>
    <i r="1">
      <x v="36"/>
    </i>
    <i r="2">
      <x/>
    </i>
    <i r="1">
      <x v="37"/>
    </i>
    <i r="2">
      <x/>
    </i>
    <i r="1">
      <x v="49"/>
    </i>
    <i r="2">
      <x/>
    </i>
    <i r="1">
      <x v="54"/>
    </i>
    <i r="2">
      <x v="8"/>
    </i>
    <i r="1">
      <x v="57"/>
    </i>
    <i r="2">
      <x v="2"/>
    </i>
    <i r="1">
      <x v="58"/>
    </i>
    <i r="2">
      <x v="3"/>
    </i>
    <i r="1">
      <x v="59"/>
    </i>
    <i r="2">
      <x v="3"/>
    </i>
    <i r="1">
      <x v="68"/>
    </i>
    <i r="2">
      <x v="12"/>
    </i>
    <i r="1">
      <x v="71"/>
    </i>
    <i r="2">
      <x v="10"/>
    </i>
    <i>
      <x v="47"/>
    </i>
    <i r="1">
      <x v="14"/>
    </i>
    <i r="2">
      <x v="1"/>
    </i>
    <i r="1">
      <x v="36"/>
    </i>
    <i r="2">
      <x/>
    </i>
    <i r="1">
      <x v="37"/>
    </i>
    <i r="2">
      <x/>
    </i>
    <i r="1">
      <x v="49"/>
    </i>
    <i r="2">
      <x/>
    </i>
    <i r="1">
      <x v="53"/>
    </i>
    <i r="2">
      <x/>
    </i>
    <i r="1">
      <x v="57"/>
    </i>
    <i r="2">
      <x v="2"/>
    </i>
    <i r="1">
      <x v="58"/>
    </i>
    <i r="2">
      <x v="3"/>
    </i>
    <i r="1">
      <x v="59"/>
    </i>
    <i r="2">
      <x v="3"/>
    </i>
    <i>
      <x v="2"/>
    </i>
    <i r="1">
      <x v="6"/>
    </i>
    <i r="2">
      <x v="10"/>
    </i>
    <i r="1">
      <x v="12"/>
    </i>
    <i r="2">
      <x v="4"/>
    </i>
    <i r="1">
      <x v="14"/>
    </i>
    <i r="2">
      <x v="1"/>
    </i>
    <i r="2">
      <x v="7"/>
    </i>
    <i r="1">
      <x v="22"/>
    </i>
    <i r="2">
      <x v="7"/>
    </i>
    <i r="1">
      <x v="37"/>
    </i>
    <i r="2">
      <x/>
    </i>
    <i r="1">
      <x v="49"/>
    </i>
    <i r="2">
      <x/>
    </i>
    <i r="1">
      <x v="59"/>
    </i>
    <i r="2">
      <x v="3"/>
    </i>
    <i>
      <x v="14"/>
    </i>
    <i r="1">
      <x v="11"/>
    </i>
    <i r="2">
      <x v="3"/>
    </i>
    <i r="1">
      <x v="19"/>
    </i>
    <i r="2">
      <x v="7"/>
    </i>
    <i r="1">
      <x v="60"/>
    </i>
    <i r="2">
      <x v="4"/>
    </i>
    <i r="1">
      <x v="61"/>
    </i>
    <i r="2">
      <x v="5"/>
    </i>
    <i r="1">
      <x v="62"/>
    </i>
    <i r="2">
      <x v="5"/>
    </i>
    <i r="1">
      <x v="64"/>
    </i>
    <i r="2">
      <x v="5"/>
    </i>
    <i r="1">
      <x v="65"/>
    </i>
    <i r="2">
      <x v="5"/>
    </i>
    <i r="1">
      <x v="66"/>
    </i>
    <i r="2">
      <x v="6"/>
    </i>
    <i r="1">
      <x v="73"/>
    </i>
    <i r="2">
      <x v="11"/>
    </i>
    <i r="1">
      <x v="74"/>
    </i>
    <i r="2">
      <x v="11"/>
    </i>
    <i>
      <x v="10"/>
    </i>
    <i r="1">
      <x v="6"/>
    </i>
    <i r="2">
      <x v="10"/>
    </i>
    <i r="1">
      <x v="12"/>
    </i>
    <i r="2">
      <x v="4"/>
    </i>
    <i r="1">
      <x v="14"/>
    </i>
    <i r="2">
      <x v="7"/>
    </i>
    <i r="1">
      <x v="22"/>
    </i>
    <i r="2">
      <x v="7"/>
    </i>
    <i r="1">
      <x v="49"/>
    </i>
    <i r="2">
      <x/>
    </i>
    <i r="2">
      <x v="9"/>
    </i>
    <i r="1">
      <x v="53"/>
    </i>
    <i r="2">
      <x/>
    </i>
    <i r="1">
      <x v="54"/>
    </i>
    <i r="2">
      <x v="8"/>
    </i>
    <i r="1">
      <x v="58"/>
    </i>
    <i r="2">
      <x v="3"/>
    </i>
    <i r="1">
      <x v="71"/>
    </i>
    <i r="2">
      <x v="10"/>
    </i>
    <i t="grand">
      <x/>
    </i>
  </rowItems>
  <colItems count="1">
    <i/>
  </colItems>
  <pageFields count="1">
    <pageField fld="2" hier="-1"/>
  </pageFields>
  <dataFields count="1">
    <dataField name="Max of In&amp;Out Qty" fld="6" subtotal="max" baseField="4" baseItem="2"/>
  </dataFields>
  <formats count="7">
    <format dxfId="47">
      <pivotArea type="all" dataOnly="0" outline="0" fieldPosition="0"/>
    </format>
    <format dxfId="46">
      <pivotArea outline="0" collapsedLevelsAreSubtotals="1" fieldPosition="0"/>
    </format>
    <format dxfId="45">
      <pivotArea field="4" type="button" dataOnly="0" labelOnly="1" outline="0" axis="axisRow" fieldPosition="0"/>
    </format>
    <format dxfId="44">
      <pivotArea dataOnly="0" labelOnly="1" outline="0" axis="axisValues" fieldPosition="0"/>
    </format>
    <format dxfId="43">
      <pivotArea dataOnly="0" labelOnly="1" fieldPosition="0">
        <references count="1">
          <reference field="4" count="10">
            <x v="2"/>
            <x v="6"/>
            <x v="10"/>
            <x v="12"/>
            <x v="14"/>
            <x v="21"/>
            <x v="29"/>
            <x v="31"/>
            <x v="38"/>
            <x v="47"/>
          </reference>
        </references>
      </pivotArea>
    </format>
    <format dxfId="42">
      <pivotArea dataOnly="0" labelOnly="1" grandRow="1" outline="0" fieldPosition="0"/>
    </format>
    <format dxfId="41">
      <pivotArea dataOnly="0" labelOnly="1" outline="0" axis="axisValues" fieldPosition="0"/>
    </format>
  </formats>
  <chartFormats count="6">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8" format="9" series="1">
      <pivotArea type="data" outline="0" fieldPosition="0">
        <references count="1">
          <reference field="4294967294" count="1" selected="0">
            <x v="0"/>
          </reference>
        </references>
      </pivotArea>
    </chartFormat>
    <chartFormat chart="9" format="7" series="1">
      <pivotArea type="data" outline="0" fieldPosition="0">
        <references count="1">
          <reference field="4294967294" count="1" selected="0">
            <x v="0"/>
          </reference>
        </references>
      </pivotArea>
    </chartFormat>
    <chartFormat chart="10" format="9"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12">
  <location ref="A6:C17" firstHeaderRow="0" firstDataRow="1" firstDataCol="1" rowPageCount="2" colPageCount="1"/>
  <pivotFields count="9">
    <pivotField numFmtId="14" showAll="0">
      <items count="14">
        <item x="0"/>
        <item x="1"/>
        <item x="2"/>
        <item x="3"/>
        <item x="4"/>
        <item x="5"/>
        <item x="6"/>
        <item x="7"/>
        <item x="8"/>
        <item x="9"/>
        <item x="10"/>
        <item x="11"/>
        <item x="12"/>
        <item t="default"/>
      </items>
    </pivotField>
    <pivotField showAll="0"/>
    <pivotField axis="axisPage" showAll="0">
      <items count="5">
        <item x="0"/>
        <item x="1"/>
        <item m="1" x="3"/>
        <item m="1" x="2"/>
        <item t="default"/>
      </items>
    </pivotField>
    <pivotField showAll="0"/>
    <pivotField axis="axisRow" showAll="0" measureFilter="1" sortType="descending">
      <items count="52">
        <item m="1" x="35"/>
        <item m="1" x="39"/>
        <item x="2"/>
        <item m="1" x="44"/>
        <item m="1" x="15"/>
        <item m="1" x="31"/>
        <item x="3"/>
        <item m="1" x="50"/>
        <item m="1" x="37"/>
        <item x="13"/>
        <item x="8"/>
        <item m="1" x="24"/>
        <item x="5"/>
        <item m="1" x="48"/>
        <item x="10"/>
        <item m="1" x="26"/>
        <item m="1" x="34"/>
        <item m="1" x="27"/>
        <item m="1" x="20"/>
        <item x="7"/>
        <item m="1" x="23"/>
        <item x="0"/>
        <item m="1" x="40"/>
        <item m="1" x="33"/>
        <item m="1" x="47"/>
        <item m="1" x="32"/>
        <item m="1" x="38"/>
        <item m="1" x="19"/>
        <item m="1" x="25"/>
        <item x="11"/>
        <item m="1" x="29"/>
        <item x="6"/>
        <item m="1" x="43"/>
        <item m="1" x="21"/>
        <item m="1" x="42"/>
        <item m="1" x="49"/>
        <item m="1" x="17"/>
        <item m="1" x="46"/>
        <item x="1"/>
        <item m="1" x="18"/>
        <item m="1" x="30"/>
        <item m="1" x="28"/>
        <item m="1" x="22"/>
        <item m="1" x="36"/>
        <item m="1" x="45"/>
        <item m="1" x="41"/>
        <item m="1" x="16"/>
        <item x="4"/>
        <item x="9"/>
        <item x="12"/>
        <item x="14"/>
        <item t="default"/>
      </items>
      <autoSortScope>
        <pivotArea dataOnly="0" outline="0" fieldPosition="0">
          <references count="1">
            <reference field="4294967294" count="1" selected="0">
              <x v="0"/>
            </reference>
          </references>
        </pivotArea>
      </autoSortScope>
    </pivotField>
    <pivotField showAll="0"/>
    <pivotField dataField="1" showAll="0">
      <items count="39">
        <item m="1" x="30"/>
        <item m="1" x="24"/>
        <item m="1" x="31"/>
        <item m="1" x="37"/>
        <item m="1" x="19"/>
        <item m="1" x="26"/>
        <item m="1" x="28"/>
        <item x="13"/>
        <item m="1" x="20"/>
        <item x="14"/>
        <item m="1" x="32"/>
        <item m="1" x="36"/>
        <item m="1" x="16"/>
        <item m="1" x="21"/>
        <item m="1" x="25"/>
        <item x="12"/>
        <item m="1" x="27"/>
        <item m="1" x="29"/>
        <item x="11"/>
        <item x="9"/>
        <item x="0"/>
        <item m="1" x="23"/>
        <item m="1" x="35"/>
        <item x="8"/>
        <item x="5"/>
        <item x="2"/>
        <item x="7"/>
        <item x="1"/>
        <item m="1" x="17"/>
        <item m="1" x="18"/>
        <item x="4"/>
        <item m="1" x="34"/>
        <item x="6"/>
        <item x="3"/>
        <item x="10"/>
        <item m="1" x="22"/>
        <item x="15"/>
        <item m="1" x="33"/>
        <item t="default"/>
      </items>
    </pivotField>
    <pivotField axis="axisPage" showAll="0">
      <items count="76">
        <item m="1" x="31"/>
        <item m="1" x="59"/>
        <item m="1" x="65"/>
        <item m="1" x="39"/>
        <item m="1" x="66"/>
        <item m="1" x="44"/>
        <item x="23"/>
        <item m="1" x="37"/>
        <item m="1" x="63"/>
        <item m="1" x="61"/>
        <item m="1" x="33"/>
        <item x="6"/>
        <item x="10"/>
        <item m="1" x="51"/>
        <item x="4"/>
        <item m="1" x="72"/>
        <item m="1" x="43"/>
        <item m="1" x="54"/>
        <item m="1" x="47"/>
        <item x="18"/>
        <item m="1" x="71"/>
        <item m="1" x="48"/>
        <item x="19"/>
        <item x="22"/>
        <item m="1" x="49"/>
        <item m="1" x="32"/>
        <item x="27"/>
        <item m="1" x="64"/>
        <item m="1" x="36"/>
        <item m="1" x="40"/>
        <item m="1" x="41"/>
        <item m="1" x="46"/>
        <item m="1" x="42"/>
        <item m="1" x="55"/>
        <item m="1" x="56"/>
        <item m="1" x="34"/>
        <item x="3"/>
        <item x="1"/>
        <item m="1" x="74"/>
        <item m="1" x="35"/>
        <item m="1" x="69"/>
        <item m="1" x="50"/>
        <item m="1" x="67"/>
        <item m="1" x="57"/>
        <item m="1" x="58"/>
        <item m="1" x="52"/>
        <item m="1" x="53"/>
        <item m="1" x="45"/>
        <item m="1" x="60"/>
        <item x="0"/>
        <item m="1" x="38"/>
        <item m="1" x="68"/>
        <item m="1" x="73"/>
        <item x="2"/>
        <item x="20"/>
        <item m="1" x="62"/>
        <item m="1" x="70"/>
        <item x="5"/>
        <item x="7"/>
        <item x="8"/>
        <item x="9"/>
        <item x="11"/>
        <item x="12"/>
        <item x="13"/>
        <item x="14"/>
        <item x="15"/>
        <item x="16"/>
        <item x="17"/>
        <item x="21"/>
        <item x="24"/>
        <item x="25"/>
        <item x="26"/>
        <item x="28"/>
        <item x="29"/>
        <item x="30"/>
        <item t="default"/>
      </items>
    </pivotField>
    <pivotField showAll="0"/>
  </pivotFields>
  <rowFields count="1">
    <field x="4"/>
  </rowFields>
  <rowItems count="11">
    <i>
      <x v="31"/>
    </i>
    <i>
      <x v="12"/>
    </i>
    <i>
      <x v="47"/>
    </i>
    <i>
      <x v="2"/>
    </i>
    <i>
      <x v="10"/>
    </i>
    <i>
      <x v="6"/>
    </i>
    <i>
      <x v="38"/>
    </i>
    <i>
      <x v="19"/>
    </i>
    <i>
      <x v="21"/>
    </i>
    <i>
      <x v="14"/>
    </i>
    <i t="grand">
      <x/>
    </i>
  </rowItems>
  <colFields count="1">
    <field x="-2"/>
  </colFields>
  <colItems count="2">
    <i>
      <x/>
    </i>
    <i i="1">
      <x v="1"/>
    </i>
  </colItems>
  <pageFields count="2">
    <pageField fld="2" hier="-1"/>
    <pageField fld="7" hier="-1"/>
  </pageFields>
  <dataFields count="2">
    <dataField name="Min of In&amp;Out Qty" fld="6" subtotal="min" baseField="4" baseItem="2"/>
    <dataField name="Min of In&amp;Out Qty(%)" fld="6" subtotal="min" showDataAs="percentOfTotal" baseField="4" baseItem="2" numFmtId="10"/>
  </dataFields>
  <formats count="6">
    <format dxfId="40">
      <pivotArea type="all" dataOnly="0" outline="0" fieldPosition="0"/>
    </format>
    <format dxfId="39">
      <pivotArea outline="0" collapsedLevelsAreSubtotals="1" fieldPosition="0"/>
    </format>
    <format dxfId="38">
      <pivotArea field="4" type="button" dataOnly="0" labelOnly="1" outline="0" axis="axisRow" fieldPosition="0"/>
    </format>
    <format dxfId="37">
      <pivotArea dataOnly="0" labelOnly="1" fieldPosition="0">
        <references count="1">
          <reference field="4" count="10">
            <x v="2"/>
            <x v="6"/>
            <x v="10"/>
            <x v="12"/>
            <x v="14"/>
            <x v="19"/>
            <x v="21"/>
            <x v="31"/>
            <x v="38"/>
            <x v="47"/>
          </reference>
        </references>
      </pivotArea>
    </format>
    <format dxfId="36">
      <pivotArea dataOnly="0" labelOnly="1" grandRow="1" outline="0" fieldPosition="0"/>
    </format>
    <format dxfId="35">
      <pivotArea dataOnly="0" labelOnly="1" outline="0" fieldPosition="0">
        <references count="1">
          <reference field="4294967294" count="2">
            <x v="0"/>
            <x v="1"/>
          </reference>
        </references>
      </pivotArea>
    </format>
  </formats>
  <chartFormats count="9">
    <chartFormat chart="0" format="0" series="1">
      <pivotArea type="data" outline="0" fieldPosition="0">
        <references count="1">
          <reference field="4294967294" count="1" selected="0">
            <x v="0"/>
          </reference>
        </references>
      </pivotArea>
    </chartFormat>
    <chartFormat chart="2" format="4" series="1">
      <pivotArea type="data" outline="0" fieldPosition="0">
        <references count="1">
          <reference field="4294967294" count="1" selected="0">
            <x v="0"/>
          </reference>
        </references>
      </pivotArea>
    </chartFormat>
    <chartFormat chart="3" format="5" series="1">
      <pivotArea type="data" outline="0" fieldPosition="0">
        <references count="1">
          <reference field="4294967294" count="1" selected="0">
            <x v="0"/>
          </reference>
        </references>
      </pivotArea>
    </chartFormat>
    <chartFormat chart="4" format="6" series="1">
      <pivotArea type="data" outline="0" fieldPosition="0">
        <references count="1">
          <reference field="4294967294" count="1" selected="0">
            <x v="0"/>
          </reference>
        </references>
      </pivotArea>
    </chartFormat>
    <chartFormat chart="4" format="7" series="1">
      <pivotArea type="data" outline="0" fieldPosition="0">
        <references count="1">
          <reference field="4294967294" count="1" selected="0">
            <x v="1"/>
          </reference>
        </references>
      </pivotArea>
    </chartFormat>
    <chartFormat chart="9" format="10" series="1">
      <pivotArea type="data" outline="0" fieldPosition="0">
        <references count="1">
          <reference field="4294967294" count="1" selected="0">
            <x v="0"/>
          </reference>
        </references>
      </pivotArea>
    </chartFormat>
    <chartFormat chart="9" format="11" series="1">
      <pivotArea type="data" outline="0" fieldPosition="0">
        <references count="1">
          <reference field="4294967294" count="1" selected="0">
            <x v="1"/>
          </reference>
        </references>
      </pivotArea>
    </chartFormat>
    <chartFormat chart="11" format="10" series="1">
      <pivotArea type="data" outline="0" fieldPosition="0">
        <references count="1">
          <reference field="4294967294" count="1" selected="0">
            <x v="0"/>
          </reference>
        </references>
      </pivotArea>
    </chartFormat>
    <chartFormat chart="11" format="1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name="PivotTable1" cacheId="3" applyNumberFormats="0" applyBorderFormats="0" applyFontFormats="0" applyPatternFormats="0" applyAlignmentFormats="0" applyWidthHeightFormats="1" dataCaption="Values" updatedVersion="6" minRefreshableVersion="5" useAutoFormatting="1" itemPrintTitles="1" createdVersion="8" indent="0" outline="1" outlineData="1" multipleFieldFilters="0" chartFormat="10" rowHeaderCaption="Item Description">
  <location ref="A2:C309" firstHeaderRow="0" firstDataRow="1" firstDataCol="1"/>
  <pivotFields count="9">
    <pivotField axis="axisRow" numFmtId="14" showAll="0">
      <items count="14">
        <item x="0"/>
        <item x="1"/>
        <item x="2"/>
        <item x="3"/>
        <item x="4"/>
        <item x="5"/>
        <item x="6"/>
        <item x="7"/>
        <item x="8"/>
        <item x="9"/>
        <item x="10"/>
        <item x="11"/>
        <item x="12"/>
        <item t="default"/>
      </items>
    </pivotField>
    <pivotField showAll="0"/>
    <pivotField axis="axisRow" showAll="0">
      <items count="5">
        <item x="0"/>
        <item x="1"/>
        <item m="1" x="3"/>
        <item m="1" x="2"/>
        <item t="default"/>
      </items>
    </pivotField>
    <pivotField showAll="0"/>
    <pivotField axis="axisRow" showAll="0" sortType="descending">
      <items count="52">
        <item m="1" x="35"/>
        <item m="1" x="39"/>
        <item x="2"/>
        <item m="1" x="44"/>
        <item m="1" x="15"/>
        <item m="1" x="31"/>
        <item x="3"/>
        <item m="1" x="50"/>
        <item m="1" x="37"/>
        <item x="13"/>
        <item x="8"/>
        <item m="1" x="24"/>
        <item x="5"/>
        <item m="1" x="48"/>
        <item x="10"/>
        <item m="1" x="26"/>
        <item m="1" x="34"/>
        <item m="1" x="27"/>
        <item m="1" x="20"/>
        <item x="7"/>
        <item m="1" x="23"/>
        <item x="0"/>
        <item m="1" x="40"/>
        <item m="1" x="33"/>
        <item m="1" x="47"/>
        <item m="1" x="32"/>
        <item m="1" x="38"/>
        <item m="1" x="19"/>
        <item m="1" x="25"/>
        <item x="11"/>
        <item m="1" x="29"/>
        <item x="6"/>
        <item m="1" x="43"/>
        <item m="1" x="21"/>
        <item m="1" x="42"/>
        <item m="1" x="49"/>
        <item m="1" x="17"/>
        <item m="1" x="46"/>
        <item x="1"/>
        <item m="1" x="18"/>
        <item m="1" x="30"/>
        <item m="1" x="28"/>
        <item m="1" x="22"/>
        <item m="1" x="36"/>
        <item m="1" x="45"/>
        <item m="1" x="41"/>
        <item m="1" x="16"/>
        <item x="4"/>
        <item x="9"/>
        <item x="12"/>
        <item x="14"/>
        <item t="default"/>
      </items>
      <autoSortScope>
        <pivotArea dataOnly="0" outline="0" fieldPosition="0">
          <references count="1">
            <reference field="4294967294" count="1" selected="0">
              <x v="0"/>
            </reference>
          </references>
        </pivotArea>
      </autoSortScope>
    </pivotField>
    <pivotField axis="axisRow" showAll="0">
      <items count="8">
        <item m="1" x="6"/>
        <item m="1" x="3"/>
        <item x="0"/>
        <item m="1" x="5"/>
        <item m="1" x="1"/>
        <item m="1" x="2"/>
        <item m="1" x="4"/>
        <item t="default"/>
      </items>
    </pivotField>
    <pivotField dataField="1" showAll="0">
      <items count="39">
        <item m="1" x="30"/>
        <item m="1" x="24"/>
        <item m="1" x="31"/>
        <item m="1" x="37"/>
        <item m="1" x="19"/>
        <item m="1" x="26"/>
        <item m="1" x="28"/>
        <item x="13"/>
        <item m="1" x="20"/>
        <item x="14"/>
        <item m="1" x="32"/>
        <item m="1" x="36"/>
        <item m="1" x="16"/>
        <item m="1" x="21"/>
        <item m="1" x="25"/>
        <item x="12"/>
        <item m="1" x="27"/>
        <item m="1" x="29"/>
        <item x="11"/>
        <item x="9"/>
        <item x="0"/>
        <item m="1" x="23"/>
        <item m="1" x="35"/>
        <item x="8"/>
        <item x="5"/>
        <item x="2"/>
        <item x="7"/>
        <item x="1"/>
        <item m="1" x="17"/>
        <item m="1" x="18"/>
        <item x="4"/>
        <item m="1" x="34"/>
        <item x="6"/>
        <item x="3"/>
        <item x="10"/>
        <item m="1" x="22"/>
        <item x="15"/>
        <item m="1" x="33"/>
        <item t="default"/>
      </items>
    </pivotField>
    <pivotField axis="axisRow" showAll="0">
      <items count="76">
        <item m="1" x="31"/>
        <item m="1" x="59"/>
        <item m="1" x="65"/>
        <item m="1" x="39"/>
        <item m="1" x="66"/>
        <item m="1" x="44"/>
        <item x="23"/>
        <item m="1" x="37"/>
        <item m="1" x="63"/>
        <item m="1" x="61"/>
        <item m="1" x="33"/>
        <item x="6"/>
        <item x="10"/>
        <item m="1" x="51"/>
        <item x="4"/>
        <item m="1" x="72"/>
        <item m="1" x="43"/>
        <item m="1" x="54"/>
        <item m="1" x="47"/>
        <item x="18"/>
        <item m="1" x="71"/>
        <item m="1" x="48"/>
        <item x="19"/>
        <item x="22"/>
        <item m="1" x="49"/>
        <item m="1" x="32"/>
        <item x="27"/>
        <item m="1" x="64"/>
        <item m="1" x="36"/>
        <item m="1" x="40"/>
        <item m="1" x="41"/>
        <item m="1" x="46"/>
        <item m="1" x="42"/>
        <item m="1" x="55"/>
        <item m="1" x="56"/>
        <item m="1" x="34"/>
        <item x="3"/>
        <item x="1"/>
        <item m="1" x="74"/>
        <item m="1" x="35"/>
        <item m="1" x="69"/>
        <item m="1" x="50"/>
        <item m="1" x="67"/>
        <item m="1" x="57"/>
        <item m="1" x="58"/>
        <item m="1" x="52"/>
        <item m="1" x="53"/>
        <item m="1" x="45"/>
        <item m="1" x="60"/>
        <item x="0"/>
        <item m="1" x="38"/>
        <item m="1" x="68"/>
        <item m="1" x="73"/>
        <item x="2"/>
        <item x="20"/>
        <item m="1" x="62"/>
        <item m="1" x="70"/>
        <item x="5"/>
        <item x="7"/>
        <item x="8"/>
        <item x="9"/>
        <item x="11"/>
        <item x="12"/>
        <item x="13"/>
        <item x="14"/>
        <item x="15"/>
        <item x="16"/>
        <item x="17"/>
        <item x="21"/>
        <item x="24"/>
        <item x="25"/>
        <item x="26"/>
        <item x="28"/>
        <item x="29"/>
        <item x="30"/>
        <item t="default"/>
      </items>
    </pivotField>
    <pivotField showAll="0"/>
  </pivotFields>
  <rowFields count="5">
    <field x="0"/>
    <field x="2"/>
    <field x="4"/>
    <field x="5"/>
    <field x="7"/>
  </rowFields>
  <rowItems count="307">
    <i>
      <x/>
    </i>
    <i r="1">
      <x/>
    </i>
    <i r="2">
      <x v="12"/>
    </i>
    <i r="3">
      <x v="2"/>
    </i>
    <i r="4">
      <x v="36"/>
    </i>
    <i r="4">
      <x v="37"/>
    </i>
    <i r="4">
      <x v="53"/>
    </i>
    <i r="2">
      <x v="21"/>
    </i>
    <i r="3">
      <x v="2"/>
    </i>
    <i r="4">
      <x v="36"/>
    </i>
    <i r="4">
      <x v="49"/>
    </i>
    <i r="4">
      <x v="53"/>
    </i>
    <i r="2">
      <x v="47"/>
    </i>
    <i r="3">
      <x v="2"/>
    </i>
    <i r="4">
      <x v="36"/>
    </i>
    <i r="4">
      <x v="37"/>
    </i>
    <i r="4">
      <x v="49"/>
    </i>
    <i r="4">
      <x v="53"/>
    </i>
    <i r="2">
      <x v="38"/>
    </i>
    <i r="3">
      <x v="2"/>
    </i>
    <i r="4">
      <x v="36"/>
    </i>
    <i r="4">
      <x v="37"/>
    </i>
    <i r="4">
      <x v="49"/>
    </i>
    <i r="2">
      <x v="31"/>
    </i>
    <i r="3">
      <x v="2"/>
    </i>
    <i r="4">
      <x v="37"/>
    </i>
    <i r="2">
      <x v="2"/>
    </i>
    <i r="3">
      <x v="2"/>
    </i>
    <i r="4">
      <x v="37"/>
    </i>
    <i r="4">
      <x v="49"/>
    </i>
    <i r="2">
      <x v="6"/>
    </i>
    <i r="3">
      <x v="2"/>
    </i>
    <i r="4">
      <x v="37"/>
    </i>
    <i r="4">
      <x v="53"/>
    </i>
    <i r="2">
      <x v="10"/>
    </i>
    <i r="3">
      <x v="2"/>
    </i>
    <i r="4">
      <x v="49"/>
    </i>
    <i r="4">
      <x v="53"/>
    </i>
    <i r="2">
      <x v="19"/>
    </i>
    <i r="3">
      <x v="2"/>
    </i>
    <i r="4">
      <x v="36"/>
    </i>
    <i r="4">
      <x v="37"/>
    </i>
    <i r="4">
      <x v="53"/>
    </i>
    <i r="2">
      <x v="48"/>
    </i>
    <i r="3">
      <x v="2"/>
    </i>
    <i r="4">
      <x v="36"/>
    </i>
    <i>
      <x v="1"/>
    </i>
    <i r="1">
      <x/>
    </i>
    <i r="2">
      <x v="21"/>
    </i>
    <i r="3">
      <x v="2"/>
    </i>
    <i r="4">
      <x v="14"/>
    </i>
    <i r="2">
      <x v="12"/>
    </i>
    <i r="3">
      <x v="2"/>
    </i>
    <i r="4">
      <x v="14"/>
    </i>
    <i r="2">
      <x v="47"/>
    </i>
    <i r="3">
      <x v="2"/>
    </i>
    <i r="4">
      <x v="14"/>
    </i>
    <i r="2">
      <x v="2"/>
    </i>
    <i r="3">
      <x v="2"/>
    </i>
    <i r="4">
      <x v="14"/>
    </i>
    <i>
      <x v="2"/>
    </i>
    <i r="1">
      <x/>
    </i>
    <i r="2">
      <x v="12"/>
    </i>
    <i r="3">
      <x v="2"/>
    </i>
    <i r="4">
      <x v="49"/>
    </i>
    <i r="4">
      <x v="57"/>
    </i>
    <i r="2">
      <x v="21"/>
    </i>
    <i r="3">
      <x v="2"/>
    </i>
    <i r="4">
      <x v="57"/>
    </i>
    <i r="2">
      <x v="47"/>
    </i>
    <i r="3">
      <x v="2"/>
    </i>
    <i r="4">
      <x v="57"/>
    </i>
    <i r="2">
      <x v="19"/>
    </i>
    <i r="3">
      <x v="2"/>
    </i>
    <i r="4">
      <x v="57"/>
    </i>
    <i r="2">
      <x v="6"/>
    </i>
    <i r="3">
      <x v="2"/>
    </i>
    <i r="4">
      <x v="57"/>
    </i>
    <i r="2">
      <x v="38"/>
    </i>
    <i r="3">
      <x v="2"/>
    </i>
    <i r="4">
      <x v="57"/>
    </i>
    <i r="2">
      <x v="48"/>
    </i>
    <i r="3">
      <x v="2"/>
    </i>
    <i r="4">
      <x v="57"/>
    </i>
    <i>
      <x v="3"/>
    </i>
    <i r="1">
      <x/>
    </i>
    <i r="2">
      <x v="21"/>
    </i>
    <i r="3">
      <x v="2"/>
    </i>
    <i r="4">
      <x v="59"/>
    </i>
    <i r="2">
      <x v="12"/>
    </i>
    <i r="3">
      <x v="2"/>
    </i>
    <i r="4">
      <x v="59"/>
    </i>
    <i r="2">
      <x v="38"/>
    </i>
    <i r="3">
      <x v="2"/>
    </i>
    <i r="4">
      <x v="58"/>
    </i>
    <i r="4">
      <x v="59"/>
    </i>
    <i r="2">
      <x v="47"/>
    </i>
    <i r="3">
      <x v="2"/>
    </i>
    <i r="4">
      <x v="58"/>
    </i>
    <i r="4">
      <x v="59"/>
    </i>
    <i r="2">
      <x v="6"/>
    </i>
    <i r="3">
      <x v="2"/>
    </i>
    <i r="4">
      <x v="58"/>
    </i>
    <i r="4">
      <x v="59"/>
    </i>
    <i r="2">
      <x v="2"/>
    </i>
    <i r="3">
      <x v="2"/>
    </i>
    <i r="4">
      <x v="59"/>
    </i>
    <i r="2">
      <x v="10"/>
    </i>
    <i r="3">
      <x v="2"/>
    </i>
    <i r="4">
      <x v="58"/>
    </i>
    <i r="2">
      <x v="29"/>
    </i>
    <i r="3">
      <x v="2"/>
    </i>
    <i r="4">
      <x v="11"/>
    </i>
    <i r="2">
      <x v="14"/>
    </i>
    <i r="3">
      <x v="2"/>
    </i>
    <i r="4">
      <x v="11"/>
    </i>
    <i r="2">
      <x v="19"/>
    </i>
    <i r="3">
      <x v="2"/>
    </i>
    <i r="4">
      <x v="58"/>
    </i>
    <i r="2">
      <x v="49"/>
    </i>
    <i r="3">
      <x v="2"/>
    </i>
    <i r="4">
      <x v="58"/>
    </i>
    <i>
      <x v="4"/>
    </i>
    <i r="1">
      <x/>
    </i>
    <i r="2">
      <x v="21"/>
    </i>
    <i r="3">
      <x v="2"/>
    </i>
    <i r="4">
      <x v="12"/>
    </i>
    <i r="2">
      <x v="38"/>
    </i>
    <i r="3">
      <x v="2"/>
    </i>
    <i r="4">
      <x v="12"/>
    </i>
    <i r="2">
      <x v="2"/>
    </i>
    <i r="3">
      <x v="2"/>
    </i>
    <i r="4">
      <x v="12"/>
    </i>
    <i r="2">
      <x v="6"/>
    </i>
    <i r="3">
      <x v="2"/>
    </i>
    <i r="4">
      <x v="12"/>
    </i>
    <i r="2">
      <x v="10"/>
    </i>
    <i r="3">
      <x v="2"/>
    </i>
    <i r="4">
      <x v="12"/>
    </i>
    <i r="2">
      <x v="14"/>
    </i>
    <i r="3">
      <x v="2"/>
    </i>
    <i r="4">
      <x v="60"/>
    </i>
    <i r="2">
      <x v="19"/>
    </i>
    <i r="3">
      <x v="2"/>
    </i>
    <i r="4">
      <x v="12"/>
    </i>
    <i>
      <x v="5"/>
    </i>
    <i r="1">
      <x/>
    </i>
    <i r="2">
      <x v="29"/>
    </i>
    <i r="3">
      <x v="2"/>
    </i>
    <i r="4">
      <x v="61"/>
    </i>
    <i r="4">
      <x v="62"/>
    </i>
    <i r="4">
      <x v="63"/>
    </i>
    <i r="4">
      <x v="64"/>
    </i>
    <i r="2">
      <x v="14"/>
    </i>
    <i r="3">
      <x v="2"/>
    </i>
    <i r="4">
      <x v="61"/>
    </i>
    <i r="4">
      <x v="62"/>
    </i>
    <i r="4">
      <x v="64"/>
    </i>
    <i r="4">
      <x v="65"/>
    </i>
    <i r="2">
      <x v="12"/>
    </i>
    <i r="3">
      <x v="2"/>
    </i>
    <i r="4">
      <x v="61"/>
    </i>
    <i r="2">
      <x v="9"/>
    </i>
    <i r="3">
      <x v="2"/>
    </i>
    <i r="4">
      <x v="61"/>
    </i>
    <i r="2">
      <x v="50"/>
    </i>
    <i r="3">
      <x v="2"/>
    </i>
    <i r="4">
      <x v="63"/>
    </i>
    <i>
      <x v="6"/>
    </i>
    <i r="1">
      <x/>
    </i>
    <i r="2">
      <x v="14"/>
    </i>
    <i r="3">
      <x v="2"/>
    </i>
    <i r="4">
      <x v="66"/>
    </i>
    <i r="2">
      <x v="29"/>
    </i>
    <i r="3">
      <x v="2"/>
    </i>
    <i r="4">
      <x v="66"/>
    </i>
    <i r="4">
      <x v="67"/>
    </i>
    <i r="2">
      <x v="9"/>
    </i>
    <i r="3">
      <x v="2"/>
    </i>
    <i r="4">
      <x v="67"/>
    </i>
    <i>
      <x v="7"/>
    </i>
    <i r="1">
      <x/>
    </i>
    <i r="2">
      <x v="12"/>
    </i>
    <i r="3">
      <x v="2"/>
    </i>
    <i r="4">
      <x v="14"/>
    </i>
    <i r="4">
      <x v="22"/>
    </i>
    <i r="2">
      <x v="21"/>
    </i>
    <i r="3">
      <x v="2"/>
    </i>
    <i r="4">
      <x v="14"/>
    </i>
    <i r="2">
      <x v="2"/>
    </i>
    <i r="3">
      <x v="2"/>
    </i>
    <i r="4">
      <x v="14"/>
    </i>
    <i r="4">
      <x v="22"/>
    </i>
    <i r="2">
      <x v="10"/>
    </i>
    <i r="3">
      <x v="2"/>
    </i>
    <i r="4">
      <x v="14"/>
    </i>
    <i r="4">
      <x v="22"/>
    </i>
    <i r="2">
      <x v="6"/>
    </i>
    <i r="3">
      <x v="2"/>
    </i>
    <i r="4">
      <x v="22"/>
    </i>
    <i r="2">
      <x v="29"/>
    </i>
    <i r="3">
      <x v="2"/>
    </i>
    <i r="4">
      <x v="19"/>
    </i>
    <i r="2">
      <x v="14"/>
    </i>
    <i r="3">
      <x v="2"/>
    </i>
    <i r="4">
      <x v="19"/>
    </i>
    <i>
      <x v="8"/>
    </i>
    <i r="1">
      <x/>
    </i>
    <i r="2">
      <x v="12"/>
    </i>
    <i r="3">
      <x v="2"/>
    </i>
    <i r="4">
      <x v="36"/>
    </i>
    <i r="2">
      <x v="38"/>
    </i>
    <i r="3">
      <x v="2"/>
    </i>
    <i r="4">
      <x v="54"/>
    </i>
    <i r="2">
      <x v="6"/>
    </i>
    <i r="3">
      <x v="2"/>
    </i>
    <i r="4">
      <x v="54"/>
    </i>
    <i r="2">
      <x v="10"/>
    </i>
    <i r="3">
      <x v="2"/>
    </i>
    <i r="4">
      <x v="54"/>
    </i>
    <i r="2">
      <x v="19"/>
    </i>
    <i r="3">
      <x v="2"/>
    </i>
    <i r="4">
      <x v="54"/>
    </i>
    <i>
      <x v="9"/>
    </i>
    <i r="1">
      <x/>
    </i>
    <i r="2">
      <x v="21"/>
    </i>
    <i r="3">
      <x v="2"/>
    </i>
    <i r="4">
      <x v="23"/>
    </i>
    <i r="2">
      <x v="6"/>
    </i>
    <i r="3">
      <x v="2"/>
    </i>
    <i r="4">
      <x v="23"/>
    </i>
    <i r="4">
      <x v="49"/>
    </i>
    <i r="4">
      <x v="68"/>
    </i>
    <i r="2">
      <x v="12"/>
    </i>
    <i r="3">
      <x v="2"/>
    </i>
    <i r="4">
      <x v="23"/>
    </i>
    <i r="2">
      <x v="38"/>
    </i>
    <i r="3">
      <x v="2"/>
    </i>
    <i r="4">
      <x v="23"/>
    </i>
    <i r="2">
      <x v="10"/>
    </i>
    <i r="3">
      <x v="2"/>
    </i>
    <i r="4">
      <x v="49"/>
    </i>
    <i r="2">
      <x v="19"/>
    </i>
    <i r="3">
      <x v="2"/>
    </i>
    <i r="4">
      <x v="23"/>
    </i>
    <i>
      <x v="10"/>
    </i>
    <i r="1">
      <x/>
    </i>
    <i r="2">
      <x v="12"/>
    </i>
    <i r="3">
      <x v="2"/>
    </i>
    <i r="4">
      <x v="26"/>
    </i>
    <i r="4">
      <x v="69"/>
    </i>
    <i r="4">
      <x v="71"/>
    </i>
    <i r="2">
      <x v="21"/>
    </i>
    <i r="3">
      <x v="2"/>
    </i>
    <i r="4">
      <x v="26"/>
    </i>
    <i r="4">
      <x v="69"/>
    </i>
    <i r="2">
      <x v="6"/>
    </i>
    <i r="3">
      <x v="2"/>
    </i>
    <i r="4">
      <x v="6"/>
    </i>
    <i r="4">
      <x v="26"/>
    </i>
    <i r="4">
      <x v="69"/>
    </i>
    <i r="4">
      <x v="71"/>
    </i>
    <i r="2">
      <x v="38"/>
    </i>
    <i r="3">
      <x v="2"/>
    </i>
    <i r="4">
      <x v="6"/>
    </i>
    <i r="4">
      <x v="26"/>
    </i>
    <i r="4">
      <x v="71"/>
    </i>
    <i r="2">
      <x v="10"/>
    </i>
    <i r="3">
      <x v="2"/>
    </i>
    <i r="4">
      <x v="6"/>
    </i>
    <i r="4">
      <x v="71"/>
    </i>
    <i r="2">
      <x v="2"/>
    </i>
    <i r="3">
      <x v="2"/>
    </i>
    <i r="4">
      <x v="6"/>
    </i>
    <i r="2">
      <x v="29"/>
    </i>
    <i r="3">
      <x v="2"/>
    </i>
    <i r="4">
      <x v="70"/>
    </i>
    <i r="2">
      <x v="49"/>
    </i>
    <i r="3">
      <x v="2"/>
    </i>
    <i r="4">
      <x v="71"/>
    </i>
    <i>
      <x v="11"/>
    </i>
    <i r="1">
      <x/>
    </i>
    <i r="2">
      <x v="21"/>
    </i>
    <i r="3">
      <x v="2"/>
    </i>
    <i r="4">
      <x v="71"/>
    </i>
    <i r="2">
      <x v="12"/>
    </i>
    <i r="3">
      <x v="2"/>
    </i>
    <i r="4">
      <x v="72"/>
    </i>
    <i r="2">
      <x v="14"/>
    </i>
    <i r="3">
      <x v="2"/>
    </i>
    <i r="4">
      <x v="73"/>
    </i>
    <i r="4">
      <x v="74"/>
    </i>
    <i r="2">
      <x v="29"/>
    </i>
    <i r="3">
      <x v="2"/>
    </i>
    <i r="4">
      <x v="73"/>
    </i>
    <i>
      <x v="12"/>
    </i>
    <i r="1">
      <x v="1"/>
    </i>
    <i r="2">
      <x v="21"/>
    </i>
    <i r="3">
      <x v="2"/>
    </i>
    <i r="4">
      <x v="68"/>
    </i>
    <i r="2">
      <x v="12"/>
    </i>
    <i r="3">
      <x v="2"/>
    </i>
    <i r="4">
      <x v="68"/>
    </i>
    <i r="2">
      <x v="38"/>
    </i>
    <i r="3">
      <x v="2"/>
    </i>
    <i r="4">
      <x v="68"/>
    </i>
    <i t="grand">
      <x/>
    </i>
  </rowItems>
  <colFields count="1">
    <field x="-2"/>
  </colFields>
  <colItems count="2">
    <i>
      <x/>
    </i>
    <i i="1">
      <x v="1"/>
    </i>
  </colItems>
  <dataFields count="2">
    <dataField name="Sum of In&amp;Out Qty" fld="6" baseField="0" baseItem="0"/>
    <dataField name="Sum of In&amp;Out Qty(%)" fld="6" showDataAs="percentOfTotal" baseField="0" baseItem="0" numFmtId="10"/>
  </dataFields>
  <formats count="16">
    <format dxfId="34">
      <pivotArea dataOnly="0" labelOnly="1" fieldPosition="0">
        <references count="1">
          <reference field="4" count="0"/>
        </references>
      </pivotArea>
    </format>
    <format dxfId="33">
      <pivotArea dataOnly="0" outline="0" fieldPosition="0">
        <references count="1">
          <reference field="4294967294" count="1">
            <x v="0"/>
          </reference>
        </references>
      </pivotArea>
    </format>
    <format dxfId="32">
      <pivotArea dataOnly="0" outline="0" fieldPosition="0">
        <references count="1">
          <reference field="4294967294" count="1">
            <x v="1"/>
          </reference>
        </references>
      </pivotArea>
    </format>
    <format dxfId="31">
      <pivotArea field="0" type="button" dataOnly="0" labelOnly="1" outline="0" axis="axisRow" fieldPosition="2"/>
    </format>
    <format dxfId="30">
      <pivotArea field="0" type="button" dataOnly="0" labelOnly="1" outline="0" axis="axisRow" fieldPosition="2"/>
    </format>
    <format dxfId="29">
      <pivotArea dataOnly="0" labelOnly="1" grandRow="1" outline="0" fieldPosition="0"/>
    </format>
    <format dxfId="28">
      <pivotArea dataOnly="0" labelOnly="1" grandRow="1" outline="0" fieldPosition="0"/>
    </format>
    <format dxfId="27">
      <pivotArea dataOnly="0" labelOnly="1" grandRow="1" outline="0" fieldPosition="0"/>
    </format>
    <format dxfId="26">
      <pivotArea dataOnly="0" labelOnly="1" fieldPosition="0">
        <references count="1">
          <reference field="2" count="0"/>
        </references>
      </pivotArea>
    </format>
    <format dxfId="25">
      <pivotArea dataOnly="0" labelOnly="1" fieldPosition="0">
        <references count="1">
          <reference field="2" count="0"/>
        </references>
      </pivotArea>
    </format>
    <format dxfId="24">
      <pivotArea dataOnly="0" outline="0" fieldPosition="0">
        <references count="1">
          <reference field="4294967294" count="1">
            <x v="0"/>
          </reference>
        </references>
      </pivotArea>
    </format>
    <format dxfId="23">
      <pivotArea dataOnly="0" outline="0" fieldPosition="0">
        <references count="1">
          <reference field="4294967294" count="1">
            <x v="0"/>
          </reference>
        </references>
      </pivotArea>
    </format>
    <format dxfId="22">
      <pivotArea dataOnly="0" outline="0" fieldPosition="0">
        <references count="1">
          <reference field="4294967294" count="1">
            <x v="1"/>
          </reference>
        </references>
      </pivotArea>
    </format>
    <format dxfId="21">
      <pivotArea dataOnly="0" outline="0" fieldPosition="0">
        <references count="1">
          <reference field="4294967294" count="1">
            <x v="1"/>
          </reference>
        </references>
      </pivotArea>
    </format>
    <format dxfId="20">
      <pivotArea dataOnly="0" labelOnly="1" fieldPosition="0">
        <references count="1">
          <reference field="5" count="0"/>
        </references>
      </pivotArea>
    </format>
    <format dxfId="19">
      <pivotArea type="all" dataOnly="0"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Type" sourceName="Type">
  <pivotTables>
    <pivotTable tabId="6" name="PivotTable1"/>
  </pivotTables>
  <data>
    <tabular pivotCacheId="2116769325">
      <items count="4">
        <i x="0" s="1"/>
        <i x="1" s="1"/>
        <i x="3" s="1" nd="1"/>
        <i x="2"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mc:Ignorable="x" name="Slicer_Item_Description" sourceName="Item Description">
  <pivotTables>
    <pivotTable tabId="6" name="PivotTable1"/>
  </pivotTables>
  <data>
    <tabular pivotCacheId="2116769325">
      <items count="51">
        <i x="2" s="1"/>
        <i x="3" s="1"/>
        <i x="12" s="1"/>
        <i x="13" s="1"/>
        <i x="10" s="1"/>
        <i x="11" s="1"/>
        <i x="14" s="1"/>
        <i x="4" s="1"/>
        <i x="9" s="1"/>
        <i x="0" s="1"/>
        <i x="5" s="1"/>
        <i x="1" s="1"/>
        <i x="8" s="1"/>
        <i x="6" s="1"/>
        <i x="7" s="1"/>
        <i x="15" s="1" nd="1"/>
        <i x="23" s="1" nd="1"/>
        <i x="24" s="1" nd="1"/>
        <i x="32" s="1" nd="1"/>
        <i x="22" s="1" nd="1"/>
        <i x="42" s="1" nd="1"/>
        <i x="39" s="1" nd="1"/>
        <i x="40" s="1" nd="1"/>
        <i x="38" s="1" nd="1"/>
        <i x="44" s="1" nd="1"/>
        <i x="50" s="1" nd="1"/>
        <i x="31" s="1" nd="1"/>
        <i x="46" s="1" nd="1"/>
        <i x="33" s="1" nd="1"/>
        <i x="43" s="1" nd="1"/>
        <i x="30" s="1" nd="1"/>
        <i x="25" s="1" nd="1"/>
        <i x="19" s="1" nd="1"/>
        <i x="21" s="1" nd="1"/>
        <i x="29" s="1" nd="1"/>
        <i x="37" s="1" nd="1"/>
        <i x="28" s="1" nd="1"/>
        <i x="49" s="1" nd="1"/>
        <i x="17" s="1" nd="1"/>
        <i x="47" s="1" nd="1"/>
        <i x="18" s="1" nd="1"/>
        <i x="34" s="1" nd="1"/>
        <i x="27" s="1" nd="1"/>
        <i x="35" s="1" nd="1"/>
        <i x="36" s="1" nd="1"/>
        <i x="45" s="1" nd="1"/>
        <i x="41" s="1" nd="1"/>
        <i x="26" s="1" nd="1"/>
        <i x="48" s="1" nd="1"/>
        <i x="20" s="1" nd="1"/>
        <i x="1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mc:Ignorable="x" name="Slicer_In_Out_Qty" sourceName="In&amp;Out Qty">
  <pivotTables>
    <pivotTable tabId="6" name="PivotTable1"/>
  </pivotTables>
  <data>
    <tabular pivotCacheId="2116769325">
      <items count="38">
        <i x="13" s="1"/>
        <i x="14" s="1"/>
        <i x="12" s="1"/>
        <i x="11" s="1"/>
        <i x="9" s="1"/>
        <i x="0" s="1"/>
        <i x="8" s="1"/>
        <i x="5" s="1"/>
        <i x="2" s="1"/>
        <i x="7" s="1"/>
        <i x="1" s="1"/>
        <i x="4" s="1"/>
        <i x="6" s="1"/>
        <i x="3" s="1"/>
        <i x="10" s="1"/>
        <i x="15" s="1"/>
        <i x="30" s="1" nd="1"/>
        <i x="24" s="1" nd="1"/>
        <i x="31" s="1" nd="1"/>
        <i x="37" s="1" nd="1"/>
        <i x="19" s="1" nd="1"/>
        <i x="26" s="1" nd="1"/>
        <i x="28" s="1" nd="1"/>
        <i x="20" s="1" nd="1"/>
        <i x="32" s="1" nd="1"/>
        <i x="36" s="1" nd="1"/>
        <i x="16" s="1" nd="1"/>
        <i x="21" s="1" nd="1"/>
        <i x="25" s="1" nd="1"/>
        <i x="27" s="1" nd="1"/>
        <i x="29" s="1" nd="1"/>
        <i x="23" s="1" nd="1"/>
        <i x="35" s="1" nd="1"/>
        <i x="17" s="1" nd="1"/>
        <i x="18" s="1" nd="1"/>
        <i x="34" s="1" nd="1"/>
        <i x="22" s="1" nd="1"/>
        <i x="33"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mc:Ignorable="x" name="Slicer_Department" sourceName="Department">
  <pivotTables>
    <pivotTable tabId="6" name="PivotTable1"/>
  </pivotTables>
  <data>
    <tabular pivotCacheId="2116769325">
      <items count="75">
        <i x="25" s="1"/>
        <i x="4" s="1"/>
        <i x="24" s="1"/>
        <i x="20" s="1"/>
        <i x="2" s="1"/>
        <i x="16" s="1"/>
        <i x="6" s="1"/>
        <i x="12" s="1"/>
        <i x="27" s="1"/>
        <i x="7" s="1"/>
        <i x="14" s="1"/>
        <i x="13" s="1"/>
        <i x="21" s="1"/>
        <i x="18" s="1"/>
        <i x="1" s="1"/>
        <i x="0" s="1"/>
        <i x="8" s="1"/>
        <i x="28" s="1"/>
        <i x="22" s="1"/>
        <i x="29" s="1"/>
        <i x="3" s="1"/>
        <i x="5" s="1"/>
        <i x="26" s="1"/>
        <i x="15" s="1"/>
        <i x="17" s="1"/>
        <i x="11" s="1"/>
        <i x="30" s="1"/>
        <i x="9" s="1"/>
        <i x="10" s="1"/>
        <i x="19" s="1"/>
        <i x="23" s="1"/>
        <i x="50" s="1" nd="1"/>
        <i x="67" s="1" nd="1"/>
        <i x="74" s="1" nd="1"/>
        <i x="41" s="1" nd="1"/>
        <i x="62" s="1" nd="1"/>
        <i x="52" s="1" nd="1"/>
        <i x="58" s="1" nd="1"/>
        <i x="59" s="1" nd="1"/>
        <i x="54" s="1" nd="1"/>
        <i x="56" s="1" nd="1"/>
        <i x="39" s="1" nd="1"/>
        <i x="45" s="1" nd="1"/>
        <i x="43" s="1" nd="1"/>
        <i x="55" s="1" nd="1"/>
        <i x="68" s="1" nd="1"/>
        <i x="51" s="1" nd="1"/>
        <i x="61" s="1" nd="1"/>
        <i x="33" s="1" nd="1"/>
        <i x="32" s="1" nd="1"/>
        <i x="72" s="1" nd="1"/>
        <i x="34" s="1" nd="1"/>
        <i x="69" s="1" nd="1"/>
        <i x="60" s="1" nd="1"/>
        <i x="63" s="1" nd="1"/>
        <i x="66" s="1" nd="1"/>
        <i x="40" s="1" nd="1"/>
        <i x="64" s="1" nd="1"/>
        <i x="73" s="1" nd="1"/>
        <i x="37" s="1" nd="1"/>
        <i x="42" s="1" nd="1"/>
        <i x="38" s="1" nd="1"/>
        <i x="65" s="1" nd="1"/>
        <i x="47" s="1" nd="1"/>
        <i x="48" s="1" nd="1"/>
        <i x="53" s="1" nd="1"/>
        <i x="71" s="1" nd="1"/>
        <i x="36" s="1" nd="1"/>
        <i x="35" s="1" nd="1"/>
        <i x="44" s="1" nd="1"/>
        <i x="70" s="1" nd="1"/>
        <i x="49" s="1" nd="1"/>
        <i x="57" s="1" nd="1"/>
        <i x="46" s="1" nd="1"/>
        <i x="31"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mc:Ignorable="x" name="Slicer_Type1" sourceName="Type">
  <pivotTables>
    <pivotTable tabId="7" name="PivotTable1"/>
  </pivotTables>
  <data>
    <tabular pivotCacheId="2116769325">
      <items count="4">
        <i x="0" s="1"/>
        <i x="1" s="1"/>
        <i x="3" s="1" nd="1"/>
        <i x="2"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mc:Ignorable="x" name="Slicer_Item_Description1" sourceName="Item Description">
  <pivotTables>
    <pivotTable tabId="7" name="PivotTable1"/>
  </pivotTables>
  <data>
    <tabular pivotCacheId="2116769325">
      <items count="51">
        <i x="2" s="1"/>
        <i x="3" s="1"/>
        <i x="12" s="1"/>
        <i x="13" s="1"/>
        <i x="10" s="1"/>
        <i x="11" s="1"/>
        <i x="14" s="1"/>
        <i x="4" s="1"/>
        <i x="9" s="1"/>
        <i x="0" s="1"/>
        <i x="5" s="1"/>
        <i x="1" s="1"/>
        <i x="8" s="1"/>
        <i x="6" s="1"/>
        <i x="7" s="1"/>
        <i x="15" s="1" nd="1"/>
        <i x="23" s="1" nd="1"/>
        <i x="24" s="1" nd="1"/>
        <i x="32" s="1" nd="1"/>
        <i x="22" s="1" nd="1"/>
        <i x="42" s="1" nd="1"/>
        <i x="39" s="1" nd="1"/>
        <i x="40" s="1" nd="1"/>
        <i x="38" s="1" nd="1"/>
        <i x="44" s="1" nd="1"/>
        <i x="50" s="1" nd="1"/>
        <i x="31" s="1" nd="1"/>
        <i x="46" s="1" nd="1"/>
        <i x="33" s="1" nd="1"/>
        <i x="43" s="1" nd="1"/>
        <i x="30" s="1" nd="1"/>
        <i x="25" s="1" nd="1"/>
        <i x="19" s="1" nd="1"/>
        <i x="21" s="1" nd="1"/>
        <i x="29" s="1" nd="1"/>
        <i x="37" s="1" nd="1"/>
        <i x="28" s="1" nd="1"/>
        <i x="49" s="1" nd="1"/>
        <i x="17" s="1" nd="1"/>
        <i x="47" s="1" nd="1"/>
        <i x="18" s="1" nd="1"/>
        <i x="34" s="1" nd="1"/>
        <i x="27" s="1" nd="1"/>
        <i x="35" s="1" nd="1"/>
        <i x="36" s="1" nd="1"/>
        <i x="45" s="1" nd="1"/>
        <i x="41" s="1" nd="1"/>
        <i x="26" s="1" nd="1"/>
        <i x="48" s="1" nd="1"/>
        <i x="20" s="1" nd="1"/>
        <i x="16"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mc:Ignorable="x" name="Slicer_Department1" sourceName="Department">
  <pivotTables>
    <pivotTable tabId="7" name="PivotTable1"/>
  </pivotTables>
  <data>
    <tabular pivotCacheId="2116769325">
      <items count="75">
        <i x="25" s="1"/>
        <i x="4" s="1"/>
        <i x="24" s="1"/>
        <i x="20" s="1"/>
        <i x="2" s="1"/>
        <i x="16" s="1"/>
        <i x="6" s="1"/>
        <i x="12" s="1"/>
        <i x="27" s="1"/>
        <i x="7" s="1"/>
        <i x="14" s="1"/>
        <i x="13" s="1"/>
        <i x="21" s="1"/>
        <i x="18" s="1"/>
        <i x="1" s="1"/>
        <i x="0" s="1"/>
        <i x="8" s="1"/>
        <i x="28" s="1"/>
        <i x="22" s="1"/>
        <i x="29" s="1"/>
        <i x="3" s="1"/>
        <i x="5" s="1"/>
        <i x="26" s="1"/>
        <i x="15" s="1"/>
        <i x="17" s="1"/>
        <i x="11" s="1"/>
        <i x="30" s="1"/>
        <i x="9" s="1"/>
        <i x="10" s="1"/>
        <i x="19" s="1"/>
        <i x="23" s="1"/>
        <i x="50" s="1" nd="1"/>
        <i x="67" s="1" nd="1"/>
        <i x="74" s="1" nd="1"/>
        <i x="41" s="1" nd="1"/>
        <i x="62" s="1" nd="1"/>
        <i x="52" s="1" nd="1"/>
        <i x="58" s="1" nd="1"/>
        <i x="59" s="1" nd="1"/>
        <i x="54" s="1" nd="1"/>
        <i x="56" s="1" nd="1"/>
        <i x="39" s="1" nd="1"/>
        <i x="45" s="1" nd="1"/>
        <i x="43" s="1" nd="1"/>
        <i x="55" s="1" nd="1"/>
        <i x="68" s="1" nd="1"/>
        <i x="51" s="1" nd="1"/>
        <i x="61" s="1" nd="1"/>
        <i x="33" s="1" nd="1"/>
        <i x="32" s="1" nd="1"/>
        <i x="72" s="1" nd="1"/>
        <i x="34" s="1" nd="1"/>
        <i x="69" s="1" nd="1"/>
        <i x="60" s="1" nd="1"/>
        <i x="63" s="1" nd="1"/>
        <i x="66" s="1" nd="1"/>
        <i x="40" s="1" nd="1"/>
        <i x="64" s="1" nd="1"/>
        <i x="73" s="1" nd="1"/>
        <i x="37" s="1" nd="1"/>
        <i x="42" s="1" nd="1"/>
        <i x="38" s="1" nd="1"/>
        <i x="65" s="1" nd="1"/>
        <i x="47" s="1" nd="1"/>
        <i x="48" s="1" nd="1"/>
        <i x="53" s="1" nd="1"/>
        <i x="71" s="1" nd="1"/>
        <i x="36" s="1" nd="1"/>
        <i x="35" s="1" nd="1"/>
        <i x="44" s="1" nd="1"/>
        <i x="70" s="1" nd="1"/>
        <i x="49" s="1" nd="1"/>
        <i x="57" s="1" nd="1"/>
        <i x="46" s="1" nd="1"/>
        <i x="31"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mc:Ignorable="x" name="Slicer_In_Out_Qty1" sourceName="In&amp;Out Qty">
  <pivotTables>
    <pivotTable tabId="7" name="PivotTable1"/>
  </pivotTables>
  <data>
    <tabular pivotCacheId="2116769325">
      <items count="38">
        <i x="13" s="1"/>
        <i x="14" s="1"/>
        <i x="12" s="1"/>
        <i x="11" s="1"/>
        <i x="9" s="1"/>
        <i x="0" s="1"/>
        <i x="8" s="1"/>
        <i x="5" s="1"/>
        <i x="2" s="1"/>
        <i x="7" s="1"/>
        <i x="1" s="1"/>
        <i x="4" s="1"/>
        <i x="6" s="1"/>
        <i x="3" s="1"/>
        <i x="10" s="1"/>
        <i x="15" s="1"/>
        <i x="30" s="1" nd="1"/>
        <i x="24" s="1" nd="1"/>
        <i x="31" s="1" nd="1"/>
        <i x="37" s="1" nd="1"/>
        <i x="19" s="1" nd="1"/>
        <i x="26" s="1" nd="1"/>
        <i x="28" s="1" nd="1"/>
        <i x="20" s="1" nd="1"/>
        <i x="32" s="1" nd="1"/>
        <i x="36" s="1" nd="1"/>
        <i x="16" s="1" nd="1"/>
        <i x="21" s="1" nd="1"/>
        <i x="25" s="1" nd="1"/>
        <i x="27" s="1" nd="1"/>
        <i x="29" s="1" nd="1"/>
        <i x="23" s="1" nd="1"/>
        <i x="35" s="1" nd="1"/>
        <i x="17" s="1" nd="1"/>
        <i x="18" s="1" nd="1"/>
        <i x="34" s="1" nd="1"/>
        <i x="22" s="1" nd="1"/>
        <i x="33"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mc:Ignorable="x" name="Slicer_Type2" sourceName="Type">
  <pivotTables>
    <pivotTable tabId="8" name="PivotTable1"/>
  </pivotTables>
  <data>
    <tabular pivotCacheId="2116769325">
      <items count="4">
        <i x="0" s="1"/>
        <i x="1" s="1"/>
        <i x="3" s="1" nd="1"/>
        <i x="2"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mc:Ignorable="x" name="Slicer_Item_Description2" sourceName="Item Description">
  <pivotTables>
    <pivotTable tabId="8" name="PivotTable1"/>
  </pivotTables>
  <data>
    <tabular pivotCacheId="2116769325">
      <items count="51">
        <i x="2" s="1"/>
        <i x="3" s="1"/>
        <i x="12" s="1"/>
        <i x="13" s="1"/>
        <i x="10" s="1"/>
        <i x="11" s="1"/>
        <i x="14" s="1"/>
        <i x="4" s="1"/>
        <i x="9" s="1"/>
        <i x="0" s="1"/>
        <i x="5" s="1"/>
        <i x="1" s="1"/>
        <i x="8" s="1"/>
        <i x="6" s="1"/>
        <i x="7" s="1"/>
        <i x="15" s="1" nd="1"/>
        <i x="23" s="1" nd="1"/>
        <i x="24" s="1" nd="1"/>
        <i x="32" s="1" nd="1"/>
        <i x="22" s="1" nd="1"/>
        <i x="42" s="1" nd="1"/>
        <i x="39" s="1" nd="1"/>
        <i x="40" s="1" nd="1"/>
        <i x="38" s="1" nd="1"/>
        <i x="44" s="1" nd="1"/>
        <i x="50" s="1" nd="1"/>
        <i x="31" s="1" nd="1"/>
        <i x="46" s="1" nd="1"/>
        <i x="33" s="1" nd="1"/>
        <i x="43" s="1" nd="1"/>
        <i x="30" s="1" nd="1"/>
        <i x="25" s="1" nd="1"/>
        <i x="19" s="1" nd="1"/>
        <i x="21" s="1" nd="1"/>
        <i x="29" s="1" nd="1"/>
        <i x="37" s="1" nd="1"/>
        <i x="28" s="1" nd="1"/>
        <i x="49" s="1" nd="1"/>
        <i x="17" s="1" nd="1"/>
        <i x="47" s="1" nd="1"/>
        <i x="18" s="1" nd="1"/>
        <i x="34" s="1" nd="1"/>
        <i x="27" s="1" nd="1"/>
        <i x="35" s="1" nd="1"/>
        <i x="36" s="1" nd="1"/>
        <i x="45" s="1" nd="1"/>
        <i x="41" s="1" nd="1"/>
        <i x="26" s="1" nd="1"/>
        <i x="48" s="1" nd="1"/>
        <i x="20" s="1" nd="1"/>
        <i x="16"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mc:Ignorable="x" name="Slicer_In_Out_Qty2" sourceName="In&amp;Out Qty">
  <pivotTables>
    <pivotTable tabId="8" name="PivotTable1"/>
  </pivotTables>
  <data>
    <tabular pivotCacheId="2116769325">
      <items count="38">
        <i x="13" s="1"/>
        <i x="14" s="1"/>
        <i x="12" s="1"/>
        <i x="11" s="1"/>
        <i x="9" s="1"/>
        <i x="0" s="1"/>
        <i x="8" s="1"/>
        <i x="5" s="1"/>
        <i x="2" s="1"/>
        <i x="7" s="1"/>
        <i x="1" s="1"/>
        <i x="4" s="1"/>
        <i x="6" s="1"/>
        <i x="3" s="1"/>
        <i x="10" s="1"/>
        <i x="15" s="1"/>
        <i x="30" s="1" nd="1"/>
        <i x="24" s="1" nd="1"/>
        <i x="31" s="1" nd="1"/>
        <i x="37" s="1" nd="1"/>
        <i x="19" s="1" nd="1"/>
        <i x="26" s="1" nd="1"/>
        <i x="28" s="1" nd="1"/>
        <i x="20" s="1" nd="1"/>
        <i x="32" s="1" nd="1"/>
        <i x="36" s="1" nd="1"/>
        <i x="16" s="1" nd="1"/>
        <i x="21" s="1" nd="1"/>
        <i x="25" s="1" nd="1"/>
        <i x="27" s="1" nd="1"/>
        <i x="29" s="1" nd="1"/>
        <i x="23" s="1" nd="1"/>
        <i x="35" s="1" nd="1"/>
        <i x="17" s="1" nd="1"/>
        <i x="18" s="1" nd="1"/>
        <i x="34" s="1" nd="1"/>
        <i x="22" s="1" nd="1"/>
        <i x="33" s="1" nd="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mc:Ignorable="x" name="Slicer_Department2" sourceName="Department">
  <pivotTables>
    <pivotTable tabId="8" name="PivotTable1"/>
  </pivotTables>
  <data>
    <tabular pivotCacheId="2116769325">
      <items count="75">
        <i x="25" s="1"/>
        <i x="4" s="1"/>
        <i x="24" s="1"/>
        <i x="20" s="1"/>
        <i x="2" s="1"/>
        <i x="16" s="1"/>
        <i x="6" s="1"/>
        <i x="12" s="1"/>
        <i x="27" s="1"/>
        <i x="7" s="1"/>
        <i x="14" s="1"/>
        <i x="13" s="1"/>
        <i x="21" s="1"/>
        <i x="18" s="1"/>
        <i x="1" s="1"/>
        <i x="0" s="1"/>
        <i x="8" s="1"/>
        <i x="28" s="1"/>
        <i x="22" s="1"/>
        <i x="29" s="1"/>
        <i x="3" s="1"/>
        <i x="5" s="1"/>
        <i x="26" s="1"/>
        <i x="15" s="1"/>
        <i x="17" s="1"/>
        <i x="11" s="1"/>
        <i x="30" s="1"/>
        <i x="9" s="1"/>
        <i x="10" s="1"/>
        <i x="19" s="1"/>
        <i x="23" s="1"/>
        <i x="50" s="1" nd="1"/>
        <i x="67" s="1" nd="1"/>
        <i x="74" s="1" nd="1"/>
        <i x="41" s="1" nd="1"/>
        <i x="62" s="1" nd="1"/>
        <i x="52" s="1" nd="1"/>
        <i x="58" s="1" nd="1"/>
        <i x="59" s="1" nd="1"/>
        <i x="54" s="1" nd="1"/>
        <i x="56" s="1" nd="1"/>
        <i x="39" s="1" nd="1"/>
        <i x="45" s="1" nd="1"/>
        <i x="43" s="1" nd="1"/>
        <i x="55" s="1" nd="1"/>
        <i x="68" s="1" nd="1"/>
        <i x="51" s="1" nd="1"/>
        <i x="61" s="1" nd="1"/>
        <i x="33" s="1" nd="1"/>
        <i x="32" s="1" nd="1"/>
        <i x="72" s="1" nd="1"/>
        <i x="34" s="1" nd="1"/>
        <i x="69" s="1" nd="1"/>
        <i x="60" s="1" nd="1"/>
        <i x="63" s="1" nd="1"/>
        <i x="66" s="1" nd="1"/>
        <i x="40" s="1" nd="1"/>
        <i x="64" s="1" nd="1"/>
        <i x="73" s="1" nd="1"/>
        <i x="37" s="1" nd="1"/>
        <i x="42" s="1" nd="1"/>
        <i x="38" s="1" nd="1"/>
        <i x="65" s="1" nd="1"/>
        <i x="47" s="1" nd="1"/>
        <i x="48" s="1" nd="1"/>
        <i x="53" s="1" nd="1"/>
        <i x="71" s="1" nd="1"/>
        <i x="36" s="1" nd="1"/>
        <i x="35" s="1" nd="1"/>
        <i x="44" s="1" nd="1"/>
        <i x="70" s="1" nd="1"/>
        <i x="49" s="1" nd="1"/>
        <i x="57" s="1" nd="1"/>
        <i x="46" s="1" nd="1"/>
        <i x="31"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mc:Ignorable="x" name="Slicer_Type3" sourceName="Type">
  <pivotTables>
    <pivotTable tabId="5" name="PivotTable1"/>
  </pivotTables>
  <data>
    <tabular pivotCacheId="2116769325">
      <items count="4">
        <i x="0" s="1"/>
        <i x="1" s="1"/>
        <i x="3" s="1" nd="1"/>
        <i x="2" s="1" nd="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mc:Ignorable="x" name="Slicer_Item_Description3" sourceName="Item Description">
  <pivotTables>
    <pivotTable tabId="5" name="PivotTable1"/>
  </pivotTables>
  <data>
    <tabular pivotCacheId="2116769325">
      <items count="51">
        <i x="2" s="1"/>
        <i x="3" s="1"/>
        <i x="12" s="1"/>
        <i x="13" s="1"/>
        <i x="10" s="1"/>
        <i x="11" s="1"/>
        <i x="14" s="1"/>
        <i x="4" s="1"/>
        <i x="9" s="1"/>
        <i x="0" s="1"/>
        <i x="5" s="1"/>
        <i x="1" s="1"/>
        <i x="8" s="1"/>
        <i x="6" s="1"/>
        <i x="7" s="1"/>
        <i x="15" s="1" nd="1"/>
        <i x="23" s="1" nd="1"/>
        <i x="24" s="1" nd="1"/>
        <i x="32" s="1" nd="1"/>
        <i x="22" s="1" nd="1"/>
        <i x="42" s="1" nd="1"/>
        <i x="39" s="1" nd="1"/>
        <i x="40" s="1" nd="1"/>
        <i x="38" s="1" nd="1"/>
        <i x="44" s="1" nd="1"/>
        <i x="50" s="1" nd="1"/>
        <i x="31" s="1" nd="1"/>
        <i x="46" s="1" nd="1"/>
        <i x="33" s="1" nd="1"/>
        <i x="43" s="1" nd="1"/>
        <i x="30" s="1" nd="1"/>
        <i x="25" s="1" nd="1"/>
        <i x="19" s="1" nd="1"/>
        <i x="21" s="1" nd="1"/>
        <i x="29" s="1" nd="1"/>
        <i x="37" s="1" nd="1"/>
        <i x="28" s="1" nd="1"/>
        <i x="49" s="1" nd="1"/>
        <i x="17" s="1" nd="1"/>
        <i x="47" s="1" nd="1"/>
        <i x="18" s="1" nd="1"/>
        <i x="34" s="1" nd="1"/>
        <i x="27" s="1" nd="1"/>
        <i x="35" s="1" nd="1"/>
        <i x="36" s="1" nd="1"/>
        <i x="45" s="1" nd="1"/>
        <i x="41" s="1" nd="1"/>
        <i x="26" s="1" nd="1"/>
        <i x="48" s="1" nd="1"/>
        <i x="20" s="1" nd="1"/>
        <i x="16"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mc:Ignorable="x" name="Slicer_In_Out_Qty3" sourceName="In&amp;Out Qty">
  <pivotTables>
    <pivotTable tabId="5" name="PivotTable1"/>
  </pivotTables>
  <data>
    <tabular pivotCacheId="2116769325">
      <items count="38">
        <i x="13" s="1"/>
        <i x="14" s="1"/>
        <i x="12" s="1"/>
        <i x="11" s="1"/>
        <i x="9" s="1"/>
        <i x="0" s="1"/>
        <i x="8" s="1"/>
        <i x="5" s="1"/>
        <i x="2" s="1"/>
        <i x="7" s="1"/>
        <i x="1" s="1"/>
        <i x="4" s="1"/>
        <i x="6" s="1"/>
        <i x="3" s="1"/>
        <i x="10" s="1"/>
        <i x="15" s="1"/>
        <i x="30" s="1" nd="1"/>
        <i x="24" s="1" nd="1"/>
        <i x="31" s="1" nd="1"/>
        <i x="37" s="1" nd="1"/>
        <i x="19" s="1" nd="1"/>
        <i x="26" s="1" nd="1"/>
        <i x="28" s="1" nd="1"/>
        <i x="20" s="1" nd="1"/>
        <i x="32" s="1" nd="1"/>
        <i x="36" s="1" nd="1"/>
        <i x="16" s="1" nd="1"/>
        <i x="21" s="1" nd="1"/>
        <i x="25" s="1" nd="1"/>
        <i x="27" s="1" nd="1"/>
        <i x="29" s="1" nd="1"/>
        <i x="23" s="1" nd="1"/>
        <i x="35" s="1" nd="1"/>
        <i x="17" s="1" nd="1"/>
        <i x="18" s="1" nd="1"/>
        <i x="34" s="1" nd="1"/>
        <i x="22" s="1" nd="1"/>
        <i x="33" s="1" nd="1"/>
      </items>
    </tabular>
  </data>
</slicerCacheDefinition>
</file>

<file path=xl/slicerCaches/slicerCache16.xml><?xml version="1.0" encoding="utf-8"?>
<slicerCacheDefinition xmlns="http://schemas.microsoft.com/office/spreadsheetml/2009/9/main" xmlns:mc="http://schemas.openxmlformats.org/markup-compatibility/2006" xmlns:x="http://schemas.openxmlformats.org/spreadsheetml/2006/main" mc:Ignorable="x" name="Slicer_Department3" sourceName="Department">
  <pivotTables>
    <pivotTable tabId="5" name="PivotTable1"/>
  </pivotTables>
  <data>
    <tabular pivotCacheId="2116769325">
      <items count="75">
        <i x="25" s="1"/>
        <i x="4" s="1"/>
        <i x="24" s="1"/>
        <i x="20" s="1"/>
        <i x="2" s="1"/>
        <i x="16" s="1"/>
        <i x="6" s="1"/>
        <i x="12" s="1"/>
        <i x="27" s="1"/>
        <i x="7" s="1"/>
        <i x="14" s="1"/>
        <i x="13" s="1"/>
        <i x="21" s="1"/>
        <i x="18" s="1"/>
        <i x="1" s="1"/>
        <i x="0" s="1"/>
        <i x="8" s="1"/>
        <i x="28" s="1"/>
        <i x="22" s="1"/>
        <i x="29" s="1"/>
        <i x="3" s="1"/>
        <i x="5" s="1"/>
        <i x="26" s="1"/>
        <i x="15" s="1"/>
        <i x="17" s="1"/>
        <i x="11" s="1"/>
        <i x="30" s="1"/>
        <i x="9" s="1"/>
        <i x="10" s="1"/>
        <i x="19" s="1"/>
        <i x="23" s="1"/>
        <i x="50" s="1" nd="1"/>
        <i x="67" s="1" nd="1"/>
        <i x="74" s="1" nd="1"/>
        <i x="41" s="1" nd="1"/>
        <i x="62" s="1" nd="1"/>
        <i x="52" s="1" nd="1"/>
        <i x="58" s="1" nd="1"/>
        <i x="59" s="1" nd="1"/>
        <i x="54" s="1" nd="1"/>
        <i x="56" s="1" nd="1"/>
        <i x="39" s="1" nd="1"/>
        <i x="45" s="1" nd="1"/>
        <i x="43" s="1" nd="1"/>
        <i x="55" s="1" nd="1"/>
        <i x="68" s="1" nd="1"/>
        <i x="51" s="1" nd="1"/>
        <i x="61" s="1" nd="1"/>
        <i x="33" s="1" nd="1"/>
        <i x="32" s="1" nd="1"/>
        <i x="72" s="1" nd="1"/>
        <i x="34" s="1" nd="1"/>
        <i x="69" s="1" nd="1"/>
        <i x="60" s="1" nd="1"/>
        <i x="63" s="1" nd="1"/>
        <i x="66" s="1" nd="1"/>
        <i x="40" s="1" nd="1"/>
        <i x="64" s="1" nd="1"/>
        <i x="73" s="1" nd="1"/>
        <i x="37" s="1" nd="1"/>
        <i x="42" s="1" nd="1"/>
        <i x="38" s="1" nd="1"/>
        <i x="65" s="1" nd="1"/>
        <i x="47" s="1" nd="1"/>
        <i x="48" s="1" nd="1"/>
        <i x="53" s="1" nd="1"/>
        <i x="71" s="1" nd="1"/>
        <i x="36" s="1" nd="1"/>
        <i x="35" s="1" nd="1"/>
        <i x="44" s="1" nd="1"/>
        <i x="70" s="1" nd="1"/>
        <i x="49" s="1" nd="1"/>
        <i x="57" s="1" nd="1"/>
        <i x="46" s="1" nd="1"/>
        <i x="31" s="1" nd="1"/>
      </items>
    </tabular>
  </data>
</slicerCacheDefinition>
</file>

<file path=xl/slicerCaches/slicerCache17.xml><?xml version="1.0" encoding="utf-8"?>
<slicerCacheDefinition xmlns="http://schemas.microsoft.com/office/spreadsheetml/2009/9/main" xmlns:mc="http://schemas.openxmlformats.org/markup-compatibility/2006" xmlns:x="http://schemas.openxmlformats.org/spreadsheetml/2006/main" mc:Ignorable="x" name="Slicer_Store" sourceName="Store">
  <pivotTables>
    <pivotTable tabId="9" name="PivotTable1"/>
  </pivotTables>
  <data>
    <tabular pivotCacheId="1332414073">
      <items count="5">
        <i x="1" s="1" nd="1"/>
        <i x="2" s="1" nd="1"/>
        <i x="0" s="1" nd="1"/>
        <i x="3" s="1" nd="1"/>
        <i x="4" s="1" nd="1"/>
      </items>
    </tabular>
  </data>
</slicerCacheDefinition>
</file>

<file path=xl/slicerCaches/slicerCache18.xml><?xml version="1.0" encoding="utf-8"?>
<slicerCacheDefinition xmlns="http://schemas.microsoft.com/office/spreadsheetml/2009/9/main" xmlns:mc="http://schemas.openxmlformats.org/markup-compatibility/2006" xmlns:x="http://schemas.openxmlformats.org/spreadsheetml/2006/main" mc:Ignorable="x" name="Slicer_Value_of_Deficiency" sourceName="Value of Deficiency">
  <pivotTables>
    <pivotTable tabId="9" name="PivotTable1"/>
  </pivotTables>
  <data>
    <tabular pivotCacheId="1332414073">
      <items count="28">
        <i x="2" nd="1"/>
        <i x="20" nd="1"/>
        <i x="27" nd="1"/>
        <i x="7" nd="1"/>
        <i x="26" s="1" nd="1"/>
        <i x="19" nd="1"/>
        <i x="16" nd="1"/>
        <i x="14" nd="1"/>
        <i x="18" nd="1"/>
        <i x="5" nd="1"/>
        <i x="8" nd="1"/>
        <i x="10" nd="1"/>
        <i x="9" nd="1"/>
        <i x="3" nd="1"/>
        <i x="11" nd="1"/>
        <i x="6" nd="1"/>
        <i x="22" nd="1"/>
        <i x="12" nd="1"/>
        <i x="23" nd="1"/>
        <i x="4" nd="1"/>
        <i x="25" nd="1"/>
        <i x="15" nd="1"/>
        <i x="24" nd="1"/>
        <i x="13" nd="1"/>
        <i x="17" nd="1"/>
        <i x="21" nd="1"/>
        <i x="1" nd="1"/>
        <i x="0" nd="1"/>
      </items>
    </tabular>
  </data>
</slicerCacheDefinition>
</file>

<file path=xl/slicerCaches/slicerCache19.xml><?xml version="1.0" encoding="utf-8"?>
<slicerCacheDefinition xmlns="http://schemas.microsoft.com/office/spreadsheetml/2009/9/main" xmlns:mc="http://schemas.openxmlformats.org/markup-compatibility/2006" xmlns:x="http://schemas.openxmlformats.org/spreadsheetml/2006/main" mc:Ignorable="x" name="Slicer_Value_of_Surplus" sourceName="Value of Surplus">
  <pivotTables>
    <pivotTable tabId="9" name="PivotTable1"/>
  </pivotTables>
  <data>
    <tabular pivotCacheId="1332414073">
      <items count="27">
        <i x="2" nd="1"/>
        <i x="15" s="1" nd="1"/>
        <i x="25" nd="1"/>
        <i x="8" nd="1"/>
        <i x="5" nd="1"/>
        <i x="16" nd="1"/>
        <i x="11" nd="1"/>
        <i x="24" nd="1"/>
        <i x="6" nd="1"/>
        <i x="20" nd="1"/>
        <i x="18" nd="1"/>
        <i x="22" nd="1"/>
        <i x="23" nd="1"/>
        <i x="7" nd="1"/>
        <i x="19" nd="1"/>
        <i x="21" nd="1"/>
        <i x="26" nd="1"/>
        <i x="9" nd="1"/>
        <i x="14" nd="1"/>
        <i x="12" nd="1"/>
        <i x="13" nd="1"/>
        <i x="17" nd="1"/>
        <i x="4" nd="1"/>
        <i x="10" nd="1"/>
        <i x="3" nd="1"/>
        <i x="1" nd="1"/>
        <i x="0"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Store" cache="Slicer_Store" caption="Store" rowHeight="241300"/>
  <slicer name="Value of Deficiency" cache="Slicer_Value_of_Deficiency" caption="Value of Deficiency" startItem="4" rowHeight="241300"/>
  <slicer name="Value of Surplus" cache="Slicer_Value_of_Surplus" caption="Value of Surplus" rowHeight="241300"/>
</slicers>
</file>

<file path=xl/slicers/slicer2.xml><?xml version="1.0" encoding="utf-8"?>
<slicers xmlns="http://schemas.microsoft.com/office/spreadsheetml/2009/9/main" xmlns:mc="http://schemas.openxmlformats.org/markup-compatibility/2006" xmlns:x="http://schemas.openxmlformats.org/spreadsheetml/2006/main" mc:Ignorable="x">
  <slicer name="Type" cache="Slicer_Type" caption="Type" startItem="1" style="SlicerStyleDark2" rowHeight="241300"/>
  <slicer name="Item Description" cache="Slicer_Item_Description" caption="Item Description" style="SlicerStyleDark2" rowHeight="241300"/>
  <slicer name="In&amp;Out Qty" cache="Slicer_In_Out_Qty" caption="In&amp;Out Qty" style="SlicerStyleDark6" rowHeight="241300"/>
  <slicer name="Department" cache="Slicer_Department" caption="Department" style="SlicerStyleDark5" rowHeight="241300"/>
</slicers>
</file>

<file path=xl/slicers/slicer3.xml><?xml version="1.0" encoding="utf-8"?>
<slicers xmlns="http://schemas.microsoft.com/office/spreadsheetml/2009/9/main" xmlns:mc="http://schemas.openxmlformats.org/markup-compatibility/2006" xmlns:x="http://schemas.openxmlformats.org/spreadsheetml/2006/main" mc:Ignorable="x">
  <slicer name="Type 1" cache="Slicer_Type1" caption="Type" style="SlicerStyleDark2" rowHeight="241300"/>
  <slicer name="Item Description 1" cache="Slicer_Item_Description1" caption="Item Description" style="SlicerStyleDark2" rowHeight="241300"/>
  <slicer name="Department 1" cache="Slicer_Department1" caption="Department" style="SlicerStyleDark5" rowHeight="241300"/>
  <slicer name="In&amp;Out Qty 1" cache="Slicer_In_Out_Qty1" caption="In&amp;Out Qty" style="SlicerStyleDark6" rowHeight="241300"/>
</slicers>
</file>

<file path=xl/slicers/slicer4.xml><?xml version="1.0" encoding="utf-8"?>
<slicers xmlns="http://schemas.microsoft.com/office/spreadsheetml/2009/9/main" xmlns:mc="http://schemas.openxmlformats.org/markup-compatibility/2006" xmlns:x="http://schemas.openxmlformats.org/spreadsheetml/2006/main" mc:Ignorable="x">
  <slicer name="Type 2" cache="Slicer_Type2" caption="Type" style="SlicerStyleDark2" rowHeight="241300"/>
  <slicer name="Item Description 2" cache="Slicer_Item_Description2" caption="Item Description" style="SlicerStyleDark2" rowHeight="241300"/>
  <slicer name="In&amp;Out Qty 2" cache="Slicer_In_Out_Qty2" caption="In&amp;Out Qty" style="SlicerStyleDark6" rowHeight="241300"/>
  <slicer name="Department 2" cache="Slicer_Department2" caption="Department" style="SlicerStyleDark5" rowHeight="241300"/>
</slicers>
</file>

<file path=xl/slicers/slicer5.xml><?xml version="1.0" encoding="utf-8"?>
<slicers xmlns="http://schemas.microsoft.com/office/spreadsheetml/2009/9/main" xmlns:mc="http://schemas.openxmlformats.org/markup-compatibility/2006" xmlns:x="http://schemas.openxmlformats.org/spreadsheetml/2006/main" mc:Ignorable="x">
  <slicer name="Type 3" cache="Slicer_Type3" caption="Type" style="SlicerStyleDark2" rowHeight="241300"/>
  <slicer name="Item Description 3" cache="Slicer_Item_Description3" caption="Item Description" startItem="27" style="SlicerStyleDark2" rowHeight="241300"/>
  <slicer name="In&amp;Out Qty 3" cache="Slicer_In_Out_Qty3" caption="In&amp;Out Qty" style="SlicerStyleDark6" rowHeight="241300"/>
  <slicer name="Department 3" cache="Slicer_Department3" caption="Department" style="SlicerStyleDark5" rowHeight="241300"/>
</slicers>
</file>

<file path=xl/tables/table1.xml><?xml version="1.0" encoding="utf-8"?>
<table xmlns="http://schemas.openxmlformats.org/spreadsheetml/2006/main" id="3" name="SF.STOREPRIMARY" displayName="SF.STOREPRIMARY" ref="B3:N38" totalsRowShown="0" headerRowDxfId="247" dataDxfId="246" tableBorderDxfId="245">
  <autoFilter ref="B3:N38"/>
  <tableColumns count="13">
    <tableColumn id="1" name="Material No" dataDxfId="244"/>
    <tableColumn id="2" name="Item Description" dataDxfId="243"/>
    <tableColumn id="3" name="Unit of Issue" dataDxfId="242"/>
    <tableColumn id="4" name="Opening S5 Bin Card Bal." dataDxfId="241"/>
    <tableColumn id="5" name="In&amp;Out Qty" dataDxfId="240">
      <calculatedColumnFormula>SUMIF(UnitsTable[Item Description],'STOCK CONTROL SHEET'!C4,UnitsTable[Running Balance])</calculatedColumnFormula>
    </tableColumn>
    <tableColumn id="6" name="Bin Card Balance" dataDxfId="239">
      <calculatedColumnFormula>SUM(E4,F4)</calculatedColumnFormula>
    </tableColumn>
    <tableColumn id="7" name="Opening Physical Stock Count." dataDxfId="238"/>
    <tableColumn id="8" name="Physical Stock Bal." dataDxfId="237" dataCellStyle="Good">
      <calculatedColumnFormula>IF(SUM(H4,F4)&lt;0,"",SUM(H4,F4))</calculatedColumnFormula>
    </tableColumn>
    <tableColumn id="9" name="Qty. Deficit" dataDxfId="236">
      <calculatedColumnFormula>IF(G4-I4&lt;=0,"",G4-I4)</calculatedColumnFormula>
    </tableColumn>
    <tableColumn id="10" name="Qty. Surplus" dataDxfId="235">
      <calculatedColumnFormula>IF(I4-G4&lt;=0,"",I4-G4)</calculatedColumnFormula>
    </tableColumn>
    <tableColumn id="11" name="Reorder Quantity" dataDxfId="234"/>
    <tableColumn id="12" name="Reorder Levels" dataDxfId="233"/>
    <tableColumn id="13" name="Remarks" dataDxfId="232"/>
  </tableColumns>
  <tableStyleInfo name="TableStyleMedium21" showFirstColumn="0" showLastColumn="0" showRowStripes="1" showColumnStripes="0"/>
</table>
</file>

<file path=xl/tables/table2.xml><?xml version="1.0" encoding="utf-8"?>
<table xmlns="http://schemas.openxmlformats.org/spreadsheetml/2006/main" id="2" name="Table2" displayName="Table2" ref="A3:E172" totalsRowShown="0" headerRowDxfId="231" dataDxfId="229" headerRowBorderDxfId="230">
  <autoFilter ref="A3:E172">
    <filterColumn colId="1">
      <filters>
        <filter val="Toner Hp Laserjet CF281A"/>
      </filters>
    </filterColumn>
  </autoFilter>
  <tableColumns count="5">
    <tableColumn id="1" name="Material No" dataDxfId="228"/>
    <tableColumn id="2" name="Item Description" dataDxfId="227">
      <calculatedColumnFormula>IF(A4="","",VLOOKUP(A4,SF.STOREPRIMARY[],2,FALSE))</calculatedColumnFormula>
    </tableColumn>
    <tableColumn id="3" name="Unit Of Issue" dataDxfId="226">
      <calculatedColumnFormula>IF(A4="","",VLOOKUP(A4,'STOCK CONTROL SHEET'!Details,3,FALSE))</calculatedColumnFormula>
    </tableColumn>
    <tableColumn id="6" name="Reorder Levels" dataDxfId="225">
      <calculatedColumnFormula>SF.STOREPRIMARY[Reorder Levels]</calculatedColumnFormula>
    </tableColumn>
    <tableColumn id="4" name="Quantity" dataDxfId="224">
      <calculatedColumnFormula>SF.STOREPRIMARY[Physical Stock Bal.]</calculatedColumnFormula>
    </tableColumn>
  </tableColumns>
  <tableStyleInfo name="TableStyleMedium21" showFirstColumn="0" showLastColumn="0" showRowStripes="1" showColumnStripes="0"/>
</table>
</file>

<file path=xl/tables/table3.xml><?xml version="1.0" encoding="utf-8"?>
<table xmlns="http://schemas.openxmlformats.org/spreadsheetml/2006/main" id="4" name="Table4" displayName="Table4" ref="G3:I172" totalsRowShown="0" headerRowDxfId="223" dataDxfId="221" headerRowBorderDxfId="222">
  <autoFilter ref="G3:I172"/>
  <tableColumns count="3">
    <tableColumn id="3" name="Material No" dataDxfId="220">
      <calculatedColumnFormula>SFMaterialNo</calculatedColumnFormula>
    </tableColumn>
    <tableColumn id="1" name="In Stock" dataDxfId="219">
      <calculatedColumnFormula>IF(Table2[[#This Row],[Quantity]]&gt;Table2[[#This Row],[Reorder Levels]],Table2[Item Description],"")</calculatedColumnFormula>
    </tableColumn>
    <tableColumn id="2" name="Out of Stock" dataDxfId="218">
      <calculatedColumnFormula>IF(Table2[[#This Row],[Quantity]]&lt;=Table2[[#This Row],[Reorder Levels]],Table2[Item Description],"")</calculatedColumnFormula>
    </tableColumn>
  </tableColumns>
  <tableStyleInfo name="TableStyleMedium14" showFirstColumn="0" showLastColumn="0" showRowStripes="1" showColumnStripes="0"/>
</table>
</file>

<file path=xl/tables/table4.xml><?xml version="1.0" encoding="utf-8"?>
<table xmlns="http://schemas.openxmlformats.org/spreadsheetml/2006/main" id="8" name="Table8" displayName="Table8" ref="A3:E38" totalsRowShown="0" headerRowDxfId="217" headerRowBorderDxfId="216" tableBorderDxfId="215" totalsRowBorderDxfId="214">
  <autoFilter ref="A3:E38"/>
  <tableColumns count="5">
    <tableColumn id="1" name="Material No" dataDxfId="213">
      <calculatedColumnFormula>SFMaterialNo</calculatedColumnFormula>
    </tableColumn>
    <tableColumn id="2" name="Item Description" dataDxfId="212"/>
    <tableColumn id="3" name="Unit of Issue" dataDxfId="211"/>
    <tableColumn id="4" name="Quantity Deficit" dataDxfId="210">
      <calculatedColumnFormula>INDEX(SF.STOREPRIMARY[],MATCH('STORE PERFORMANCE'!A4,SFMaterialNo,0),9)</calculatedColumnFormula>
    </tableColumn>
    <tableColumn id="5" name="Quantity Surplus" dataDxfId="209"/>
  </tableColumns>
  <tableStyleInfo name="TableStyleMedium20" showFirstColumn="0" showLastColumn="0" showRowStripes="1" showColumnStripes="0"/>
</table>
</file>

<file path=xl/tables/table5.xml><?xml version="1.0" encoding="utf-8"?>
<table xmlns="http://schemas.openxmlformats.org/spreadsheetml/2006/main" id="9" name="Table9" displayName="Table9" ref="A40:E103" totalsRowShown="0" headerRowDxfId="208" headerRowBorderDxfId="207" tableBorderDxfId="206" totalsRowBorderDxfId="205">
  <autoFilter ref="A40:E103"/>
  <tableColumns count="5">
    <tableColumn id="1" name="Material No" dataDxfId="204"/>
    <tableColumn id="2" name="Item Description" dataDxfId="203">
      <calculatedColumnFormula>IF(A41="","",VLOOKUP(A41,'STOCK CONTROL SHEET'!Details,2,FALSE))</calculatedColumnFormula>
    </tableColumn>
    <tableColumn id="3" name="Unit of Issue" dataDxfId="202">
      <calculatedColumnFormula>IF(A41="","",VLOOKUP(A41,'STOCK CONTROL SHEET'!Details,3,FALSE))</calculatedColumnFormula>
    </tableColumn>
    <tableColumn id="4" name="Quantity Deficit" dataDxfId="201">
      <calculatedColumnFormula>INDEX(COMP.STOREPRIMARY,MATCH('STORE PERFORMANCE'!A41,COMPMaterialNo,0),9)</calculatedColumnFormula>
    </tableColumn>
    <tableColumn id="5" name="Quantity Surplus" dataDxfId="200">
      <calculatedColumnFormula>INDEX(COMP.STOREPRIMARY,MATCH('STORE PERFORMANCE'!A41,COMPMaterialNo,0),10)</calculatedColumnFormula>
    </tableColumn>
  </tableColumns>
  <tableStyleInfo name="TableStyleMedium11" showFirstColumn="0" showLastColumn="0" showRowStripes="1" showColumnStripes="0"/>
</table>
</file>

<file path=xl/tables/table6.xml><?xml version="1.0" encoding="utf-8"?>
<table xmlns="http://schemas.openxmlformats.org/spreadsheetml/2006/main" id="10" name="Table10" displayName="Table10" ref="A105:E151" totalsRowShown="0" headerRowDxfId="199" headerRowBorderDxfId="198" tableBorderDxfId="197" totalsRowBorderDxfId="196">
  <autoFilter ref="A105:E151"/>
  <tableColumns count="5">
    <tableColumn id="1" name="Material No" dataDxfId="195"/>
    <tableColumn id="2" name="Item Description" dataDxfId="194">
      <calculatedColumnFormula>IF(A106="","",VLOOKUP(A106,'STOCK CONTROL SHEET'!Details,2,FALSE))</calculatedColumnFormula>
    </tableColumn>
    <tableColumn id="3" name="Unit of Issue" dataDxfId="193">
      <calculatedColumnFormula>IF(A106="","",VLOOKUP(A106,'STOCK CONTROL SHEET'!Details,3,FALSE))</calculatedColumnFormula>
    </tableColumn>
    <tableColumn id="4" name="Quantity Deficit" dataDxfId="192">
      <calculatedColumnFormula>INDEX(MAINT.STOREPRIMARY,MATCH('STORE PERFORMANCE'!A106,MAINTMaterialNo,0),9)</calculatedColumnFormula>
    </tableColumn>
    <tableColumn id="5" name="Quantity Surplus" dataDxfId="191">
      <calculatedColumnFormula>INDEX(MAINT.STOREPRIMARY,MATCH('STORE PERFORMANCE'!A106,MAINTMaterialNo,0),10)</calculatedColumnFormula>
    </tableColumn>
  </tableColumns>
  <tableStyleInfo name="TableStyleMedium5" showFirstColumn="0" showLastColumn="0" showRowStripes="1" showColumnStripes="0"/>
</table>
</file>

<file path=xl/tables/table7.xml><?xml version="1.0" encoding="utf-8"?>
<table xmlns="http://schemas.openxmlformats.org/spreadsheetml/2006/main" id="5" name="Table5" displayName="Table5" ref="G2:I5" totalsRowShown="0" headerRowDxfId="190" dataDxfId="189">
  <autoFilter ref="G2:I5"/>
  <tableColumns count="3">
    <tableColumn id="1" name="Store" dataDxfId="188"/>
    <tableColumn id="2" name="Value of Deficiency" dataDxfId="187"/>
    <tableColumn id="3" name="Value of Surplus" dataDxfId="186"/>
  </tableColumns>
  <tableStyleInfo name="TableStyleLight20" showFirstColumn="0" showLastColumn="0" showRowStripes="1" showColumnStripes="0"/>
</table>
</file>

<file path=xl/tables/table8.xml><?xml version="1.0" encoding="utf-8"?>
<table xmlns="http://schemas.openxmlformats.org/spreadsheetml/2006/main" id="1" name="UnitsTable" displayName="UnitsTable" ref="A2:I123" totalsRowShown="0" headerRowDxfId="185" dataDxfId="183" headerRowBorderDxfId="184" tableBorderDxfId="182" totalsRowBorderDxfId="181">
  <autoFilter ref="A2:I123">
    <filterColumn colId="2">
      <filters>
        <filter val="Receipt"/>
      </filters>
    </filterColumn>
  </autoFilter>
  <tableColumns count="9">
    <tableColumn id="1" name="Date" dataDxfId="180"/>
    <tableColumn id="2" name="Document No" dataDxfId="179"/>
    <tableColumn id="3" name="Type" dataDxfId="178"/>
    <tableColumn id="4" name="Material No" dataDxfId="177"/>
    <tableColumn id="5" name="Item Description" dataDxfId="176">
      <calculatedColumnFormula>IF(D3="","",VLOOKUP(D3,'STOCK CONTROL SHEET'!Details,2,FALSE))</calculatedColumnFormula>
    </tableColumn>
    <tableColumn id="6" name="Unit of Issue" dataDxfId="175">
      <calculatedColumnFormula>IF(D3="","",VLOOKUP(D3,'STOCK CONTROL SHEET'!Details,3,FALSE))</calculatedColumnFormula>
    </tableColumn>
    <tableColumn id="7" name="In&amp;Out Qty" dataDxfId="174"/>
    <tableColumn id="8" name="Department" dataDxfId="173"/>
    <tableColumn id="10" name="Running Balance" dataDxfId="172">
      <calculatedColumnFormula>IF(UnitsTable[Type]="Receipt",(SUM(UnitsTable[[#This Row],[In&amp;Out Qty]])),(SUM(-INOUTQTY)))</calculatedColumnFormula>
    </tableColumn>
  </tableColumns>
  <tableStyleInfo name="TableStyleLight21" showFirstColumn="0" showLastColumn="0" showRowStripes="1" showColumnStripes="0"/>
</table>
</file>

<file path=xl/tables/table9.xml><?xml version="1.0" encoding="utf-8"?>
<table xmlns="http://schemas.openxmlformats.org/spreadsheetml/2006/main" id="11" name="ComputerStoreUnitsTable" displayName="ComputerStoreUnitsTable" ref="A2:I11" totalsRowShown="0" headerRowDxfId="104" dataDxfId="102" headerRowBorderDxfId="103" tableBorderDxfId="101" totalsRowBorderDxfId="100">
  <autoFilter ref="A2:I11">
    <filterColumn colId="2">
      <filters>
        <filter val="Receipt"/>
      </filters>
    </filterColumn>
  </autoFilter>
  <tableColumns count="9">
    <tableColumn id="1" name="Date" dataDxfId="99"/>
    <tableColumn id="2" name="Document No" dataDxfId="98"/>
    <tableColumn id="3" name="Type" dataDxfId="97"/>
    <tableColumn id="4" name="Material No" dataDxfId="96"/>
    <tableColumn id="5" name="Item Description" dataDxfId="95">
      <calculatedColumnFormula>IF(D3="","",VLOOKUP(D3,'STOCK CONTROL SHEET'!Details,2,FALSE))</calculatedColumnFormula>
    </tableColumn>
    <tableColumn id="6" name="Unit of Issue" dataDxfId="94">
      <calculatedColumnFormula>IF(D3="","",VLOOKUP(D3,'STOCK CONTROL SHEET'!Details,3,FALSE))</calculatedColumnFormula>
    </tableColumn>
    <tableColumn id="7" name="In&amp;Out Qty" dataDxfId="93"/>
    <tableColumn id="8" name="Department" dataDxfId="92"/>
    <tableColumn id="10" name="Running Balance" dataDxfId="91">
      <calculatedColumnFormula>IF(ComputerStoreUnitsTable[Type]="Receipt",(SUM(ComputerStoreUnitsTable[[#This Row],[In&amp;Out Qty]])),(SUM(-INOUTQTY)))</calculatedColumnFormula>
    </tableColumn>
  </tableColumns>
  <tableStyleInfo name="TableStyleLight21" showFirstColumn="0" showLastColumn="0" showRowStripes="1" showColumnStripes="0"/>
</table>
</file>

<file path=xl/tables/table10.xml><?xml version="1.0" encoding="utf-8"?>
<table xmlns="http://schemas.openxmlformats.org/spreadsheetml/2006/main" id="6" name="MAINTENANCEUnitsTable" displayName="MAINTENANCEUnitsTable" ref="A2:I11" totalsRowShown="0" headerRowDxfId="79" dataDxfId="77" headerRowBorderDxfId="78" tableBorderDxfId="76" totalsRowBorderDxfId="75">
  <autoFilter ref="A2:I11">
    <filterColumn colId="2">
      <filters>
        <filter val="Receipt"/>
      </filters>
    </filterColumn>
  </autoFilter>
  <tableColumns count="9">
    <tableColumn id="1" name="Date" dataDxfId="74"/>
    <tableColumn id="2" name="Document No" dataDxfId="73"/>
    <tableColumn id="3" name="Type" dataDxfId="72"/>
    <tableColumn id="4" name="Material No" dataDxfId="71"/>
    <tableColumn id="5" name="Item Description" dataDxfId="70">
      <calculatedColumnFormula>IF(D3="","",VLOOKUP(D3,'STOCK CONTROL SHEET'!Details,2,FALSE))</calculatedColumnFormula>
    </tableColumn>
    <tableColumn id="6" name="Unit of Issue" dataDxfId="69">
      <calculatedColumnFormula>IF(D3="","",VLOOKUP(D3,'STOCK CONTROL SHEET'!Details,3,FALSE))</calculatedColumnFormula>
    </tableColumn>
    <tableColumn id="7" name="In&amp;Out Qty" dataDxfId="68"/>
    <tableColumn id="8" name="Department" dataDxfId="67"/>
    <tableColumn id="10" name="Running Balance" dataDxfId="66">
      <calculatedColumnFormula>IF(MAINTENANCEUnitsTable[Type]="Receipt",(SUM(MAINTENANCEUnitsTable[[#This Row],[In&amp;Out Qty]])),(SUM(-INOUTQTY)))</calculatedColumnFormula>
    </tableColumn>
  </tableColumns>
  <tableStyleInfo name="TableStyleLight21" showFirstColumn="0" showLastColumn="0" showRowStripes="1" showColumnStripes="0"/>
</table>
</file>

<file path=xl/tables/table11.xml><?xml version="1.0" encoding="utf-8"?>
<table xmlns="http://schemas.openxmlformats.org/spreadsheetml/2006/main" id="7" name="Table7" displayName="Table7" ref="A3:D15" totalsRowShown="0" headerRowDxfId="18" dataDxfId="17">
  <autoFilter ref="A3:D15"/>
  <tableColumns count="4">
    <tableColumn id="1" name="MONTH" dataDxfId="16"/>
    <tableColumn id="2" name="TOTAL ISSUED" dataDxfId="15"/>
    <tableColumn id="6" name="TOTAL LOANED" dataDxfId="14"/>
    <tableColumn id="3" name="TOTAL RECEIVED" dataDxfId="13"/>
  </tableColumns>
  <tableStyleInfo name="TableStyleMedium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Top Shadow">
      <a:fillStyleLst>
        <a:solidFill>
          <a:schemeClr val="phClr"/>
        </a:solidFill>
        <a:gradFill rotWithShape="1">
          <a:gsLst>
            <a:gs pos="0">
              <a:schemeClr val="phClr">
                <a:tint val="10000"/>
                <a:satMod val="300000"/>
              </a:schemeClr>
            </a:gs>
            <a:gs pos="34000">
              <a:schemeClr val="phClr">
                <a:tint val="13500"/>
                <a:satMod val="250000"/>
              </a:schemeClr>
            </a:gs>
            <a:gs pos="100000">
              <a:schemeClr val="phClr">
                <a:tint val="60000"/>
                <a:satMod val="200000"/>
              </a:schemeClr>
            </a:gs>
          </a:gsLst>
          <a:path path="circle">
            <a:fillToRect l="50000" t="155000" r="50000" b="-55000"/>
          </a:path>
        </a:gradFill>
        <a:gradFill rotWithShape="1">
          <a:gsLst>
            <a:gs pos="0">
              <a:schemeClr val="phClr">
                <a:tint val="60000"/>
                <a:satMod val="160000"/>
              </a:schemeClr>
            </a:gs>
            <a:gs pos="46000">
              <a:schemeClr val="phClr">
                <a:tint val="86000"/>
                <a:satMod val="160000"/>
              </a:schemeClr>
            </a:gs>
            <a:gs pos="100000">
              <a:schemeClr val="phClr">
                <a:shade val="40000"/>
                <a:satMod val="160000"/>
              </a:schemeClr>
            </a:gs>
          </a:gsLst>
          <a:path path="circle">
            <a:fillToRect l="50000" t="155000" r="50000" b="-55000"/>
          </a:path>
        </a:gradFill>
      </a:fillStyleLst>
      <a:lnStyleLst>
        <a:ln w="9525" cap="flat" cmpd="sng" algn="ctr">
          <a:solidFill>
            <a:schemeClr val="phClr">
              <a:satMod val="120000"/>
            </a:schemeClr>
          </a:solidFill>
          <a:prstDash val="solid"/>
        </a:ln>
        <a:ln w="12700" cap="flat" cmpd="sng" algn="ctr">
          <a:solidFill>
            <a:schemeClr val="phClr"/>
          </a:solidFill>
          <a:prstDash val="solid"/>
        </a:ln>
        <a:ln w="25400" cap="flat" cmpd="sng" algn="ctr">
          <a:solidFill>
            <a:schemeClr val="phClr"/>
          </a:solidFill>
          <a:prstDash val="solid"/>
        </a:ln>
      </a:lnStyleLst>
      <a:effectStyleLst>
        <a:effectStyle>
          <a:effectLst>
            <a:outerShdw blurRad="63500" dist="25400" dir="14700000" algn="t" rotWithShape="0">
              <a:srgbClr val="000000">
                <a:alpha val="50000"/>
              </a:srgbClr>
            </a:outerShdw>
          </a:effectLst>
        </a:effectStyle>
        <a:effectStyle>
          <a:effectLst>
            <a:outerShdw blurRad="50800" dist="38100" dir="14700000" algn="t" rotWithShape="0">
              <a:srgbClr val="000000">
                <a:alpha val="60000"/>
              </a:srgbClr>
            </a:outerShdw>
          </a:effectLst>
        </a:effectStyle>
        <a:effectStyle>
          <a:effectLst>
            <a:outerShdw blurRad="53975" dist="41275" dir="14700000" algn="t" rotWithShape="0">
              <a:srgbClr val="000000">
                <a:alpha val="60000"/>
              </a:srgbClr>
            </a:outerShdw>
          </a:effectLst>
          <a:scene3d>
            <a:camera prst="orthographicFront">
              <a:rot lat="0" lon="0" rev="0"/>
            </a:camera>
            <a:lightRig rig="contrasting" dir="t">
              <a:rot lat="0" lon="0" rev="3600000"/>
            </a:lightRig>
          </a:scene3d>
          <a:sp3d prstMaterial="plastic">
            <a:bevelT w="127000" h="38200" prst="relaxedInset"/>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imelineCaches/timelineCache1.xml><?xml version="1.0" encoding="utf-8"?>
<timelineCacheDefinition xmlns="http://schemas.microsoft.com/office/spreadsheetml/2010/11/main" xmlns:x15="http://schemas.microsoft.com/office/spreadsheetml/2010/11/main" name="NativeTimeline_Date" sourceName="Date">
  <pivotTables>
    <pivotTable tabId="6" name="PivotTable1"/>
  </pivotTables>
  <state minimalRefreshVersion="6" lastRefreshVersion="6" pivotCacheId="2116769325" filterType="dateBetween">
    <selection startDate="2025-07-01T00:00:00" endDate="2025-07-31T00:00:00"/>
    <bounds startDate="2025-01-01T00:00:00" endDate="2026-01-01T00:00:00"/>
  </state>
</timelineCacheDefinition>
</file>

<file path=xl/timelineCaches/timelineCache2.xml><?xml version="1.0" encoding="utf-8"?>
<timelineCacheDefinition xmlns="http://schemas.microsoft.com/office/spreadsheetml/2010/11/main" xmlns:x15="http://schemas.microsoft.com/office/spreadsheetml/2010/11/main" name="NativeTimeline_Date1" sourceName="Date">
  <pivotTables>
    <pivotTable tabId="5" name="PivotTable1"/>
  </pivotTables>
  <state minimalRefreshVersion="6" lastRefreshVersion="6" pivotCacheId="2116769325" filterType="unknown">
    <bounds startDate="2025-01-01T00:00:00" endDate="2026-01-01T00:00:00"/>
  </state>
</timelineCacheDefinition>
</file>

<file path=xl/timelineCaches/timelineCache3.xml><?xml version="1.0" encoding="utf-8"?>
<timelineCacheDefinition xmlns="http://schemas.microsoft.com/office/spreadsheetml/2010/11/main" xmlns:x15="http://schemas.microsoft.com/office/spreadsheetml/2010/11/main" name="NativeTimeline_Date2" sourceName="Date">
  <pivotTables>
    <pivotTable tabId="7" name="PivotTable1"/>
  </pivotTables>
  <state minimalRefreshVersion="6" lastRefreshVersion="6" pivotCacheId="2116769325" filterType="unknown">
    <bounds startDate="2025-01-01T00:00:00" endDate="2026-01-01T00:00:00"/>
  </state>
</timelineCacheDefinition>
</file>

<file path=xl/timelineCaches/timelineCache4.xml><?xml version="1.0" encoding="utf-8"?>
<timelineCacheDefinition xmlns="http://schemas.microsoft.com/office/spreadsheetml/2010/11/main" xmlns:x15="http://schemas.microsoft.com/office/spreadsheetml/2010/11/main" name="NativeTimeline_Date3" sourceName="Date">
  <pivotTables>
    <pivotTable tabId="8" name="PivotTable1"/>
  </pivotTables>
  <state minimalRefreshVersion="6" lastRefreshVersion="6" pivotCacheId="2116769325" filterType="unknown">
    <bounds startDate="2025-01-01T00:00:00" endDate="2026-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mc:Ignorable="x">
  <timeline name="Date" cache="NativeTimeline_Date" caption="Date" showHorizontalScrollbar="0" level="2" selectionLevel="2" scrollPosition="2025-01-01T00:00:00" style="TimeSlicerStyleDark4"/>
</timelines>
</file>

<file path=xl/timelines/timeline2.xml><?xml version="1.0" encoding="utf-8"?>
<timelines xmlns="http://schemas.microsoft.com/office/spreadsheetml/2010/11/main" xmlns:mc="http://schemas.openxmlformats.org/markup-compatibility/2006" xmlns:x="http://schemas.openxmlformats.org/spreadsheetml/2006/main" mc:Ignorable="x">
  <timeline name="Date 2" cache="NativeTimeline_Date2" caption="Date" showHorizontalScrollbar="0" level="2" selectionLevel="2" scrollPosition="2025-01-01T00:00:00" style="TimeSlicerStyleLight2"/>
</timelines>
</file>

<file path=xl/timelines/timeline3.xml><?xml version="1.0" encoding="utf-8"?>
<timelines xmlns="http://schemas.microsoft.com/office/spreadsheetml/2010/11/main" xmlns:mc="http://schemas.openxmlformats.org/markup-compatibility/2006" xmlns:x="http://schemas.openxmlformats.org/spreadsheetml/2006/main" mc:Ignorable="x">
  <timeline name="Date 3" cache="NativeTimeline_Date3" caption="Date" showHorizontalScrollbar="0" level="2" selectionLevel="2" scrollPosition="2025-01-01T00:00:00" style="TimeSlicerStyleDark6"/>
</timelines>
</file>

<file path=xl/timelines/timeline4.xml><?xml version="1.0" encoding="utf-8"?>
<timelines xmlns="http://schemas.microsoft.com/office/spreadsheetml/2010/11/main" xmlns:mc="http://schemas.openxmlformats.org/markup-compatibility/2006" xmlns:x="http://schemas.openxmlformats.org/spreadsheetml/2006/main" mc:Ignorable="x">
  <timeline name="Date 1" cache="NativeTimeline_Date1" caption="Date" showHorizontalScrollbar="0" level="1" selectionLevel="1" scrollPosition="2025-01-01T00:00:00" style="TimeSlicerStyleDark4"/>
</timelines>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vmlDrawing" Target="../drawings/vmlDrawing1.vml"/><Relationship Id="rId1" Type="http://schemas.openxmlformats.org/officeDocument/2006/relationships/printerSettings" Target="../printerSettings/printerSettings1.bin"/><Relationship Id="rId4" Type="http://schemas.openxmlformats.org/officeDocument/2006/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table" Target="../tables/table3.xml"/><Relationship Id="rId2" Type="http://schemas.openxmlformats.org/officeDocument/2006/relationships/table" Target="../tables/table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drawing" Target="../drawings/drawing1.xml"/><Relationship Id="rId7" Type="http://schemas.openxmlformats.org/officeDocument/2006/relationships/table" Target="../tables/table7.xml"/><Relationship Id="rId2" Type="http://schemas.openxmlformats.org/officeDocument/2006/relationships/printerSettings" Target="../printerSettings/printerSettings3.bin"/><Relationship Id="rId1" Type="http://schemas.openxmlformats.org/officeDocument/2006/relationships/pivotTable" Target="../pivotTables/pivotTable1.xml"/><Relationship Id="rId6" Type="http://schemas.openxmlformats.org/officeDocument/2006/relationships/table" Target="../tables/table6.xml"/><Relationship Id="rId5" Type="http://schemas.openxmlformats.org/officeDocument/2006/relationships/table" Target="../tables/table5.xml"/><Relationship Id="rId4" Type="http://schemas.openxmlformats.org/officeDocument/2006/relationships/table" Target="../tables/table4.xml"/></Relationships>
</file>

<file path=xl/worksheets/_rels/sheet4.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6.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ivotTable" Target="../pivotTables/pivotTable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10.xml"/><Relationship Id="rId1" Type="http://schemas.openxmlformats.org/officeDocument/2006/relationships/printerSettings" Target="../printerSettings/printerSettings6.bin"/></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4.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7.bin"/><Relationship Id="rId1" Type="http://schemas.openxmlformats.org/officeDocument/2006/relationships/pivotTable" Target="../pivotTables/pivotTable5.xml"/><Relationship Id="rId5" Type="http://schemas.microsoft.com/office/2011/relationships/timeline" Target="../timelines/timeline1.xml"/><Relationship Id="rId4" Type="http://schemas.microsoft.com/office/2007/relationships/slicer" Target="../slicers/slicer2.xml"/></Relationships>
</file>

<file path=xl/worksheets/_rels/sheet11.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6.xml"/><Relationship Id="rId4" Type="http://schemas.microsoft.com/office/2011/relationships/timeline" Target="../timelines/timeline2.xml"/></Relationships>
</file>

<file path=xl/worksheets/_rels/sheet12.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7.xml"/><Relationship Id="rId4" Type="http://schemas.microsoft.com/office/2011/relationships/timeline" Target="../timelines/timeline3.xml"/></Relationships>
</file>

<file path=xl/worksheets/_rels/sheet13.xml.rels><?xml version="1.0" encoding="UTF-8" standalone="yes"?>
<Relationships xmlns="http://schemas.openxmlformats.org/package/2006/relationships"><Relationship Id="rId3" Type="http://schemas.openxmlformats.org/officeDocument/2006/relationships/drawing" Target="../drawings/drawing5.xml"/><Relationship Id="rId2" Type="http://schemas.openxmlformats.org/officeDocument/2006/relationships/printerSettings" Target="../printerSettings/printerSettings8.bin"/><Relationship Id="rId1" Type="http://schemas.openxmlformats.org/officeDocument/2006/relationships/pivotTable" Target="../pivotTables/pivotTable8.xml"/><Relationship Id="rId5" Type="http://schemas.microsoft.com/office/2011/relationships/timeline" Target="../timelines/timeline4.xml"/><Relationship Id="rId4" Type="http://schemas.microsoft.com/office/2007/relationships/slicer" Target="../slicers/slicer5.xml"/></Relationships>
</file>

<file path=xl/worksheets/_rels/sheet14.xml.rels><?xml version="1.0" encoding="UTF-8" standalone="yes"?>
<Relationships xmlns="http://schemas.openxmlformats.org/package/2006/relationships"><Relationship Id="rId3" Type="http://schemas.openxmlformats.org/officeDocument/2006/relationships/table" Target="../tables/table11.xml"/><Relationship Id="rId2" Type="http://schemas.openxmlformats.org/officeDocument/2006/relationships/drawing" Target="../drawings/drawing6.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sheetPr codeName="Sheet1">
    <tabColor theme="9" tint="-0.499984740745262"/>
    <pageSetUpPr fitToPage="1"/>
  </sheetPr>
  <dimension ref="A1:N172"/>
  <sheetViews>
    <sheetView showGridLines="0" topLeftCell="B1" zoomScale="55" zoomScaleNormal="99" workbookViewId="0">
      <selection activeCell="H20" sqref="H20"/>
    </sheetView>
  </sheetViews>
  <sheetFormatPr defaultRowHeight="14.5" x14ac:dyDescent="0.35"/>
  <cols>
    <col min="2" max="2" width="15.7265625" customWidth="1"/>
    <col min="3" max="3" width="21.1796875" customWidth="1"/>
    <col min="4" max="4" width="17" customWidth="1"/>
    <col min="5" max="5" width="31.54296875" customWidth="1"/>
    <col min="6" max="6" width="15.36328125" customWidth="1"/>
    <col min="7" max="7" width="22.6328125" customWidth="1"/>
    <col min="8" max="8" width="38" customWidth="1"/>
    <col min="9" max="9" width="24.81640625" customWidth="1"/>
    <col min="10" max="10" width="15.7265625" customWidth="1"/>
    <col min="11" max="11" width="17" customWidth="1"/>
    <col min="12" max="12" width="22.1796875" customWidth="1"/>
    <col min="13" max="13" width="20" customWidth="1"/>
    <col min="14" max="14" width="12.7265625" customWidth="1"/>
  </cols>
  <sheetData>
    <row r="1" spans="1:14" ht="29" customHeight="1" thickBot="1" x14ac:dyDescent="0.4">
      <c r="A1" s="123" t="s">
        <v>291</v>
      </c>
      <c r="B1" s="125" t="s">
        <v>186</v>
      </c>
      <c r="C1" s="126"/>
      <c r="D1" s="126"/>
      <c r="E1" s="126"/>
      <c r="F1" s="126"/>
      <c r="G1" s="126"/>
      <c r="H1" s="126"/>
      <c r="I1" s="126"/>
      <c r="J1" s="126"/>
      <c r="K1" s="126"/>
      <c r="L1" s="126"/>
      <c r="M1" s="126"/>
      <c r="N1" s="126"/>
    </row>
    <row r="2" spans="1:14" ht="29" customHeight="1" thickBot="1" x14ac:dyDescent="0.4">
      <c r="A2" s="124"/>
      <c r="B2" s="127" t="s">
        <v>292</v>
      </c>
      <c r="C2" s="128"/>
      <c r="D2" s="128"/>
      <c r="E2" s="128"/>
      <c r="F2" s="128"/>
      <c r="G2" s="128"/>
      <c r="H2" s="128"/>
      <c r="I2" s="128"/>
      <c r="J2" s="128"/>
      <c r="K2" s="128"/>
      <c r="L2" s="128"/>
      <c r="M2" s="128"/>
      <c r="N2" s="129"/>
    </row>
    <row r="3" spans="1:14" ht="15" thickBot="1" x14ac:dyDescent="0.4">
      <c r="A3" s="120" t="s">
        <v>189</v>
      </c>
      <c r="B3" s="103" t="s">
        <v>22</v>
      </c>
      <c r="C3" s="4" t="s">
        <v>0</v>
      </c>
      <c r="D3" s="4" t="s">
        <v>1</v>
      </c>
      <c r="E3" s="4" t="s">
        <v>2</v>
      </c>
      <c r="F3" s="4" t="s">
        <v>27</v>
      </c>
      <c r="G3" s="4" t="s">
        <v>26</v>
      </c>
      <c r="H3" s="5" t="s">
        <v>3</v>
      </c>
      <c r="I3" s="2" t="s">
        <v>4</v>
      </c>
      <c r="J3" s="3" t="s">
        <v>5</v>
      </c>
      <c r="K3" s="4" t="s">
        <v>6</v>
      </c>
      <c r="L3" s="4" t="s">
        <v>7</v>
      </c>
      <c r="M3" s="6" t="s">
        <v>8</v>
      </c>
      <c r="N3" s="5" t="s">
        <v>9</v>
      </c>
    </row>
    <row r="4" spans="1:14" x14ac:dyDescent="0.35">
      <c r="A4" s="121"/>
      <c r="B4" s="104">
        <v>282014</v>
      </c>
      <c r="C4" s="28" t="s">
        <v>45</v>
      </c>
      <c r="D4" s="24" t="s">
        <v>15</v>
      </c>
      <c r="E4" s="23"/>
      <c r="F4" s="31">
        <f>SUMIF(UnitsTable[Item Description],'STOCK CONTROL SHEET'!C4,UnitsTable[Running Balance])</f>
        <v>0</v>
      </c>
      <c r="G4" s="31">
        <f t="shared" ref="G4:G38" si="0">IF(SUM(E4,F4)&lt;0,"",SUM(E4,F4))</f>
        <v>0</v>
      </c>
      <c r="H4" s="23"/>
      <c r="I4" s="38">
        <f t="shared" ref="I4:I38" si="1">IF(SUM(H4,F4)&lt;0,"",SUM(H4,F4))</f>
        <v>0</v>
      </c>
      <c r="J4" s="32" t="str">
        <f>IF(G4-I4&lt;=0,"",G4-I4)</f>
        <v/>
      </c>
      <c r="K4" s="32" t="str">
        <f>IF(I4-G4&lt;=0,"",I4-G4)</f>
        <v/>
      </c>
      <c r="L4" s="24">
        <v>12720</v>
      </c>
      <c r="M4" s="24">
        <v>500</v>
      </c>
      <c r="N4" s="36" t="str">
        <f t="shared" ref="N4:N9" si="2">IF(I4&lt;=M4,"Reorder","Available")</f>
        <v>Reorder</v>
      </c>
    </row>
    <row r="5" spans="1:14" x14ac:dyDescent="0.35">
      <c r="A5" s="121"/>
      <c r="B5" s="104">
        <v>100126</v>
      </c>
      <c r="C5" s="29" t="s">
        <v>46</v>
      </c>
      <c r="D5" s="20" t="s">
        <v>14</v>
      </c>
      <c r="E5" s="23">
        <v>375</v>
      </c>
      <c r="F5" s="31">
        <f>SUMIF(UnitsTable[Item Description],'STOCK CONTROL SHEET'!C5,UnitsTable[Running Balance])</f>
        <v>0</v>
      </c>
      <c r="G5" s="31">
        <f t="shared" si="0"/>
        <v>375</v>
      </c>
      <c r="H5" s="23">
        <v>0</v>
      </c>
      <c r="I5" s="38">
        <f t="shared" si="1"/>
        <v>0</v>
      </c>
      <c r="J5" s="32">
        <f t="shared" ref="J5:J38" si="3">IF(G5-I5&lt;=0,"",G5-I5)</f>
        <v>375</v>
      </c>
      <c r="K5" s="32" t="str">
        <f t="shared" ref="K5:K38" si="4">IF(I5-G5&lt;=0,"",I5-G5)</f>
        <v/>
      </c>
      <c r="L5" s="20">
        <v>1800</v>
      </c>
      <c r="M5" s="20">
        <v>450</v>
      </c>
      <c r="N5" s="36" t="str">
        <f t="shared" si="2"/>
        <v>Reorder</v>
      </c>
    </row>
    <row r="6" spans="1:14" x14ac:dyDescent="0.35">
      <c r="A6" s="121"/>
      <c r="B6" s="104">
        <v>100128</v>
      </c>
      <c r="C6" s="29" t="s">
        <v>47</v>
      </c>
      <c r="D6" s="20" t="s">
        <v>14</v>
      </c>
      <c r="E6" s="23">
        <v>100</v>
      </c>
      <c r="F6" s="31">
        <f>SUMIF(UnitsTable[Item Description],'STOCK CONTROL SHEET'!C6,UnitsTable[Running Balance])</f>
        <v>0</v>
      </c>
      <c r="G6" s="31">
        <f t="shared" si="0"/>
        <v>100</v>
      </c>
      <c r="H6" s="23">
        <v>176</v>
      </c>
      <c r="I6" s="38">
        <f t="shared" si="1"/>
        <v>176</v>
      </c>
      <c r="J6" s="32" t="str">
        <f t="shared" si="3"/>
        <v/>
      </c>
      <c r="K6" s="32">
        <f t="shared" si="4"/>
        <v>76</v>
      </c>
      <c r="L6" s="20">
        <v>20000</v>
      </c>
      <c r="M6" s="20">
        <v>4500</v>
      </c>
      <c r="N6" s="36" t="str">
        <f t="shared" si="2"/>
        <v>Reorder</v>
      </c>
    </row>
    <row r="7" spans="1:14" ht="29" x14ac:dyDescent="0.35">
      <c r="A7" s="121"/>
      <c r="B7" s="104">
        <v>100216</v>
      </c>
      <c r="C7" s="29" t="s">
        <v>176</v>
      </c>
      <c r="D7" s="20" t="s">
        <v>14</v>
      </c>
      <c r="E7" s="23"/>
      <c r="F7" s="31">
        <f>SUMIF(UnitsTable[Item Description],'STOCK CONTROL SHEET'!C7,UnitsTable[Running Balance])</f>
        <v>0</v>
      </c>
      <c r="G7" s="31">
        <f t="shared" si="0"/>
        <v>0</v>
      </c>
      <c r="H7" s="23"/>
      <c r="I7" s="38">
        <f t="shared" si="1"/>
        <v>0</v>
      </c>
      <c r="J7" s="32" t="str">
        <f t="shared" si="3"/>
        <v/>
      </c>
      <c r="K7" s="32" t="str">
        <f t="shared" si="4"/>
        <v/>
      </c>
      <c r="L7" s="20"/>
      <c r="M7" s="20">
        <v>3000</v>
      </c>
      <c r="N7" s="36" t="str">
        <f t="shared" si="2"/>
        <v>Reorder</v>
      </c>
    </row>
    <row r="8" spans="1:14" ht="29" x14ac:dyDescent="0.35">
      <c r="A8" s="121"/>
      <c r="B8" s="104">
        <v>100139</v>
      </c>
      <c r="C8" s="29" t="s">
        <v>48</v>
      </c>
      <c r="D8" s="20" t="s">
        <v>14</v>
      </c>
      <c r="E8" s="23">
        <v>12750</v>
      </c>
      <c r="F8" s="31">
        <f>SUMIF(UnitsTable[Item Description],'STOCK CONTROL SHEET'!C8,UnitsTable[Running Balance])</f>
        <v>-4000</v>
      </c>
      <c r="G8" s="31">
        <f t="shared" si="0"/>
        <v>8750</v>
      </c>
      <c r="H8" s="23">
        <v>10000</v>
      </c>
      <c r="I8" s="38">
        <f t="shared" si="1"/>
        <v>6000</v>
      </c>
      <c r="J8" s="32">
        <f t="shared" si="3"/>
        <v>2750</v>
      </c>
      <c r="K8" s="32" t="str">
        <f t="shared" si="4"/>
        <v/>
      </c>
      <c r="L8" s="20">
        <v>60000</v>
      </c>
      <c r="M8" s="20">
        <v>15000</v>
      </c>
      <c r="N8" s="36" t="str">
        <f t="shared" si="2"/>
        <v>Reorder</v>
      </c>
    </row>
    <row r="9" spans="1:14" x14ac:dyDescent="0.35">
      <c r="A9" s="121"/>
      <c r="B9" s="104">
        <v>100218</v>
      </c>
      <c r="C9" s="29" t="s">
        <v>49</v>
      </c>
      <c r="D9" s="20" t="s">
        <v>14</v>
      </c>
      <c r="E9" s="23">
        <v>14800</v>
      </c>
      <c r="F9" s="31">
        <f>SUMIF(UnitsTable[Item Description],'STOCK CONTROL SHEET'!C9,UnitsTable[Running Balance])</f>
        <v>-5850</v>
      </c>
      <c r="G9" s="31">
        <f t="shared" si="0"/>
        <v>8950</v>
      </c>
      <c r="H9" s="23">
        <v>11000</v>
      </c>
      <c r="I9" s="38">
        <f t="shared" si="1"/>
        <v>5150</v>
      </c>
      <c r="J9" s="32">
        <f t="shared" si="3"/>
        <v>3800</v>
      </c>
      <c r="K9" s="32" t="str">
        <f t="shared" si="4"/>
        <v/>
      </c>
      <c r="L9" s="20">
        <v>30000</v>
      </c>
      <c r="M9" s="20">
        <v>7500</v>
      </c>
      <c r="N9" s="36" t="str">
        <f t="shared" si="2"/>
        <v>Reorder</v>
      </c>
    </row>
    <row r="10" spans="1:14" ht="29" x14ac:dyDescent="0.35">
      <c r="A10" s="121"/>
      <c r="B10" s="105">
        <v>100220</v>
      </c>
      <c r="C10" s="27" t="s">
        <v>215</v>
      </c>
      <c r="D10" s="23" t="s">
        <v>14</v>
      </c>
      <c r="E10" s="23">
        <v>35</v>
      </c>
      <c r="F10" s="40">
        <f>SUMIF(UnitsTable[Item Description],'STOCK CONTROL SHEET'!C10,UnitsTable[Running Balance])</f>
        <v>-5300</v>
      </c>
      <c r="G10" s="31" t="str">
        <f t="shared" si="0"/>
        <v/>
      </c>
      <c r="H10" s="23">
        <v>29</v>
      </c>
      <c r="I10" s="39" t="str">
        <f>IF(SUM(H10,F10)&lt;0,"",SUM(H10,F10))</f>
        <v/>
      </c>
      <c r="J10" s="34" t="e">
        <f>IF(G10-I10&lt;=0,"",G10-I10)</f>
        <v>#VALUE!</v>
      </c>
      <c r="K10" s="34" t="e">
        <f>IF(I10-G10&lt;=0,"",I10-G10)</f>
        <v>#VALUE!</v>
      </c>
      <c r="L10" s="25">
        <v>30000</v>
      </c>
      <c r="M10" s="25">
        <v>7500</v>
      </c>
      <c r="N10" s="36" t="str">
        <f>IF(I10&lt;=M10,"Reorder","Available")</f>
        <v>Available</v>
      </c>
    </row>
    <row r="11" spans="1:14" ht="29" x14ac:dyDescent="0.35">
      <c r="A11" s="121"/>
      <c r="B11" s="104">
        <v>100210</v>
      </c>
      <c r="C11" s="29" t="s">
        <v>50</v>
      </c>
      <c r="D11" s="20" t="s">
        <v>14</v>
      </c>
      <c r="E11" s="23"/>
      <c r="F11" s="31">
        <f>SUMIF(UnitsTable[Item Description],'STOCK CONTROL SHEET'!C11,UnitsTable[Running Balance])</f>
        <v>0</v>
      </c>
      <c r="G11" s="31">
        <f t="shared" si="0"/>
        <v>0</v>
      </c>
      <c r="H11" s="23"/>
      <c r="I11" s="38">
        <f t="shared" si="1"/>
        <v>0</v>
      </c>
      <c r="J11" s="32" t="str">
        <f t="shared" si="3"/>
        <v/>
      </c>
      <c r="K11" s="32" t="str">
        <f t="shared" si="4"/>
        <v/>
      </c>
      <c r="L11" s="20">
        <v>30000</v>
      </c>
      <c r="M11" s="20">
        <v>7500</v>
      </c>
      <c r="N11" s="37" t="str">
        <f t="shared" ref="N11:N38" si="5">IF(I11&lt;=M11,"Reorder","Available")</f>
        <v>Reorder</v>
      </c>
    </row>
    <row r="12" spans="1:14" ht="29" x14ac:dyDescent="0.35">
      <c r="A12" s="121"/>
      <c r="B12" s="104">
        <v>100162</v>
      </c>
      <c r="C12" s="29" t="s">
        <v>52</v>
      </c>
      <c r="D12" s="20" t="s">
        <v>14</v>
      </c>
      <c r="E12" s="23">
        <v>170</v>
      </c>
      <c r="F12" s="31">
        <f>SUMIF(UnitsTable[Item Description],'STOCK CONTROL SHEET'!C12,UnitsTable[Running Balance])</f>
        <v>0</v>
      </c>
      <c r="G12" s="31">
        <f t="shared" si="0"/>
        <v>170</v>
      </c>
      <c r="H12" s="23">
        <v>5</v>
      </c>
      <c r="I12" s="38">
        <f t="shared" si="1"/>
        <v>5</v>
      </c>
      <c r="J12" s="32">
        <f t="shared" si="3"/>
        <v>165</v>
      </c>
      <c r="K12" s="32" t="str">
        <f t="shared" si="4"/>
        <v/>
      </c>
      <c r="L12" s="20">
        <v>1000</v>
      </c>
      <c r="M12" s="20">
        <v>250</v>
      </c>
      <c r="N12" s="37" t="str">
        <f t="shared" si="5"/>
        <v>Reorder</v>
      </c>
    </row>
    <row r="13" spans="1:14" x14ac:dyDescent="0.35">
      <c r="A13" s="121"/>
      <c r="B13" s="104">
        <v>100144</v>
      </c>
      <c r="C13" s="29" t="s">
        <v>51</v>
      </c>
      <c r="D13" s="20" t="s">
        <v>14</v>
      </c>
      <c r="E13" s="23">
        <v>201</v>
      </c>
      <c r="F13" s="31">
        <f>SUMIF(UnitsTable[Item Description],'STOCK CONTROL SHEET'!C13,UnitsTable[Running Balance])</f>
        <v>0</v>
      </c>
      <c r="G13" s="31">
        <f t="shared" si="0"/>
        <v>201</v>
      </c>
      <c r="H13" s="23">
        <v>201</v>
      </c>
      <c r="I13" s="38">
        <f t="shared" si="1"/>
        <v>201</v>
      </c>
      <c r="J13" s="32" t="str">
        <f t="shared" si="3"/>
        <v/>
      </c>
      <c r="K13" s="32" t="str">
        <f t="shared" si="4"/>
        <v/>
      </c>
      <c r="L13" s="20">
        <v>300</v>
      </c>
      <c r="M13" s="20">
        <v>100</v>
      </c>
      <c r="N13" s="37" t="str">
        <f t="shared" si="5"/>
        <v>Available</v>
      </c>
    </row>
    <row r="14" spans="1:14" x14ac:dyDescent="0.35">
      <c r="A14" s="121"/>
      <c r="B14" s="104">
        <v>100125</v>
      </c>
      <c r="C14" s="29" t="s">
        <v>53</v>
      </c>
      <c r="D14" s="20" t="s">
        <v>11</v>
      </c>
      <c r="E14" s="23">
        <v>497</v>
      </c>
      <c r="F14" s="31">
        <f>SUMIF(UnitsTable[Item Description],'STOCK CONTROL SHEET'!C14,UnitsTable[Running Balance])</f>
        <v>0</v>
      </c>
      <c r="G14" s="31">
        <f t="shared" si="0"/>
        <v>497</v>
      </c>
      <c r="H14" s="23">
        <v>367</v>
      </c>
      <c r="I14" s="38">
        <f t="shared" si="1"/>
        <v>367</v>
      </c>
      <c r="J14" s="32">
        <f t="shared" si="3"/>
        <v>130</v>
      </c>
      <c r="K14" s="32" t="str">
        <f t="shared" si="4"/>
        <v/>
      </c>
      <c r="L14" s="20">
        <v>200</v>
      </c>
      <c r="M14" s="20">
        <v>100</v>
      </c>
      <c r="N14" s="37" t="str">
        <f t="shared" si="5"/>
        <v>Available</v>
      </c>
    </row>
    <row r="15" spans="1:14" x14ac:dyDescent="0.35">
      <c r="A15" s="121"/>
      <c r="B15" s="104">
        <v>100123</v>
      </c>
      <c r="C15" s="29" t="s">
        <v>54</v>
      </c>
      <c r="D15" s="20" t="s">
        <v>14</v>
      </c>
      <c r="E15" s="23">
        <v>12045</v>
      </c>
      <c r="F15" s="31">
        <f>SUMIF(UnitsTable[Item Description],'STOCK CONTROL SHEET'!C15,UnitsTable[Running Balance])</f>
        <v>-2400</v>
      </c>
      <c r="G15" s="31">
        <f t="shared" si="0"/>
        <v>9645</v>
      </c>
      <c r="H15" s="23">
        <v>15251</v>
      </c>
      <c r="I15" s="38">
        <f t="shared" si="1"/>
        <v>12851</v>
      </c>
      <c r="J15" s="32" t="str">
        <f t="shared" si="3"/>
        <v/>
      </c>
      <c r="K15" s="32">
        <f t="shared" si="4"/>
        <v>3206</v>
      </c>
      <c r="L15" s="20">
        <v>40000</v>
      </c>
      <c r="M15" s="20">
        <v>9000</v>
      </c>
      <c r="N15" s="37" t="str">
        <f t="shared" si="5"/>
        <v>Available</v>
      </c>
    </row>
    <row r="16" spans="1:14" x14ac:dyDescent="0.35">
      <c r="A16" s="121"/>
      <c r="B16" s="104">
        <v>100228</v>
      </c>
      <c r="C16" s="29" t="s">
        <v>55</v>
      </c>
      <c r="D16" s="20" t="s">
        <v>14</v>
      </c>
      <c r="E16" s="23">
        <v>10</v>
      </c>
      <c r="F16" s="31">
        <f>SUMIF(UnitsTable[Item Description],'STOCK CONTROL SHEET'!C16,UnitsTable[Running Balance])</f>
        <v>0</v>
      </c>
      <c r="G16" s="31">
        <f t="shared" si="0"/>
        <v>10</v>
      </c>
      <c r="H16" s="23">
        <v>0</v>
      </c>
      <c r="I16" s="38">
        <f t="shared" si="1"/>
        <v>0</v>
      </c>
      <c r="J16" s="32">
        <f t="shared" si="3"/>
        <v>10</v>
      </c>
      <c r="K16" s="32" t="str">
        <f t="shared" si="4"/>
        <v/>
      </c>
      <c r="L16" s="20">
        <v>1600</v>
      </c>
      <c r="M16" s="20">
        <v>600</v>
      </c>
      <c r="N16" s="37" t="str">
        <f t="shared" si="5"/>
        <v>Reorder</v>
      </c>
    </row>
    <row r="17" spans="1:14" ht="29" x14ac:dyDescent="0.35">
      <c r="A17" s="121"/>
      <c r="B17" s="104">
        <v>100124</v>
      </c>
      <c r="C17" s="29" t="s">
        <v>56</v>
      </c>
      <c r="D17" s="20" t="s">
        <v>14</v>
      </c>
      <c r="E17" s="23">
        <v>1336</v>
      </c>
      <c r="F17" s="31">
        <f>SUMIF(UnitsTable[Item Description],'STOCK CONTROL SHEET'!C17,UnitsTable[Running Balance])</f>
        <v>-250</v>
      </c>
      <c r="G17" s="31">
        <f t="shared" si="0"/>
        <v>1086</v>
      </c>
      <c r="H17" s="23">
        <v>1361</v>
      </c>
      <c r="I17" s="38">
        <f t="shared" si="1"/>
        <v>1111</v>
      </c>
      <c r="J17" s="32" t="str">
        <f t="shared" si="3"/>
        <v/>
      </c>
      <c r="K17" s="32">
        <f t="shared" si="4"/>
        <v>25</v>
      </c>
      <c r="L17" s="20">
        <v>2000</v>
      </c>
      <c r="M17" s="20">
        <v>450</v>
      </c>
      <c r="N17" s="37" t="str">
        <f t="shared" si="5"/>
        <v>Available</v>
      </c>
    </row>
    <row r="18" spans="1:14" x14ac:dyDescent="0.35">
      <c r="A18" s="121"/>
      <c r="B18" s="104">
        <v>100122</v>
      </c>
      <c r="C18" s="29" t="s">
        <v>57</v>
      </c>
      <c r="D18" s="20" t="s">
        <v>14</v>
      </c>
      <c r="E18" s="23">
        <v>14646</v>
      </c>
      <c r="F18" s="31">
        <f>SUMIF(UnitsTable[Item Description],'STOCK CONTROL SHEET'!C18,UnitsTable[Running Balance])</f>
        <v>-1910</v>
      </c>
      <c r="G18" s="31">
        <f t="shared" si="0"/>
        <v>12736</v>
      </c>
      <c r="H18" s="23">
        <v>11067</v>
      </c>
      <c r="I18" s="38">
        <f t="shared" si="1"/>
        <v>9157</v>
      </c>
      <c r="J18" s="32">
        <f t="shared" si="3"/>
        <v>3579</v>
      </c>
      <c r="K18" s="32" t="str">
        <f t="shared" si="4"/>
        <v/>
      </c>
      <c r="L18" s="20">
        <v>15000</v>
      </c>
      <c r="M18" s="20">
        <v>3750</v>
      </c>
      <c r="N18" s="37" t="str">
        <f t="shared" si="5"/>
        <v>Available</v>
      </c>
    </row>
    <row r="19" spans="1:14" ht="29" x14ac:dyDescent="0.35">
      <c r="A19" s="121"/>
      <c r="B19" s="104">
        <v>100130</v>
      </c>
      <c r="C19" s="29" t="s">
        <v>58</v>
      </c>
      <c r="D19" s="20" t="s">
        <v>14</v>
      </c>
      <c r="E19" s="23">
        <v>2210</v>
      </c>
      <c r="F19" s="31">
        <f>SUMIF(UnitsTable[Item Description],'STOCK CONTROL SHEET'!C19,UnitsTable[Running Balance])</f>
        <v>-120</v>
      </c>
      <c r="G19" s="31">
        <f t="shared" si="0"/>
        <v>2090</v>
      </c>
      <c r="H19" s="23">
        <v>2498</v>
      </c>
      <c r="I19" s="38">
        <f t="shared" si="1"/>
        <v>2378</v>
      </c>
      <c r="J19" s="32" t="str">
        <f t="shared" si="3"/>
        <v/>
      </c>
      <c r="K19" s="32">
        <f t="shared" si="4"/>
        <v>288</v>
      </c>
      <c r="L19" s="20">
        <v>270</v>
      </c>
      <c r="M19" s="20">
        <v>68</v>
      </c>
      <c r="N19" s="37" t="str">
        <f t="shared" si="5"/>
        <v>Available</v>
      </c>
    </row>
    <row r="20" spans="1:14" ht="29" x14ac:dyDescent="0.35">
      <c r="A20" s="121"/>
      <c r="B20" s="104">
        <v>100138</v>
      </c>
      <c r="C20" s="29" t="s">
        <v>59</v>
      </c>
      <c r="D20" s="20" t="s">
        <v>14</v>
      </c>
      <c r="E20" s="23">
        <v>31</v>
      </c>
      <c r="F20" s="31">
        <f>SUMIF(UnitsTable[Item Description],'STOCK CONTROL SHEET'!C20,UnitsTable[Running Balance])</f>
        <v>-4000</v>
      </c>
      <c r="G20" s="31" t="str">
        <f t="shared" si="0"/>
        <v/>
      </c>
      <c r="H20" s="23">
        <v>9</v>
      </c>
      <c r="I20" s="38" t="str">
        <f t="shared" si="1"/>
        <v/>
      </c>
      <c r="J20" s="32" t="e">
        <f t="shared" si="3"/>
        <v>#VALUE!</v>
      </c>
      <c r="K20" s="32" t="e">
        <f t="shared" si="4"/>
        <v>#VALUE!</v>
      </c>
      <c r="L20" s="20">
        <v>90000</v>
      </c>
      <c r="M20" s="20">
        <v>22500</v>
      </c>
      <c r="N20" s="37" t="str">
        <f t="shared" si="5"/>
        <v>Available</v>
      </c>
    </row>
    <row r="21" spans="1:14" ht="29" x14ac:dyDescent="0.35">
      <c r="A21" s="121"/>
      <c r="B21" s="104">
        <v>100221</v>
      </c>
      <c r="C21" s="29" t="s">
        <v>60</v>
      </c>
      <c r="D21" s="20" t="s">
        <v>14</v>
      </c>
      <c r="E21" s="23">
        <v>445</v>
      </c>
      <c r="F21" s="31">
        <f>SUMIF(UnitsTable[Item Description],'STOCK CONTROL SHEET'!C21,UnitsTable[Running Balance])</f>
        <v>-180</v>
      </c>
      <c r="G21" s="31">
        <f t="shared" si="0"/>
        <v>265</v>
      </c>
      <c r="H21" s="23">
        <v>222</v>
      </c>
      <c r="I21" s="38">
        <f t="shared" si="1"/>
        <v>42</v>
      </c>
      <c r="J21" s="32">
        <f t="shared" si="3"/>
        <v>223</v>
      </c>
      <c r="K21" s="32" t="str">
        <f t="shared" si="4"/>
        <v/>
      </c>
      <c r="L21" s="20">
        <v>5000</v>
      </c>
      <c r="M21" s="20">
        <v>1250</v>
      </c>
      <c r="N21" s="37" t="str">
        <f t="shared" si="5"/>
        <v>Reorder</v>
      </c>
    </row>
    <row r="22" spans="1:14" x14ac:dyDescent="0.35">
      <c r="A22" s="121"/>
      <c r="B22" s="104">
        <v>100155</v>
      </c>
      <c r="C22" s="29" t="s">
        <v>61</v>
      </c>
      <c r="D22" s="20" t="s">
        <v>14</v>
      </c>
      <c r="E22" s="23">
        <v>104</v>
      </c>
      <c r="F22" s="31">
        <f>SUMIF(UnitsTable[Item Description],'STOCK CONTROL SHEET'!C22,UnitsTable[Running Balance])</f>
        <v>-60</v>
      </c>
      <c r="G22" s="31">
        <f t="shared" si="0"/>
        <v>44</v>
      </c>
      <c r="H22" s="23">
        <v>62</v>
      </c>
      <c r="I22" s="38">
        <f t="shared" si="1"/>
        <v>2</v>
      </c>
      <c r="J22" s="32">
        <f t="shared" si="3"/>
        <v>42</v>
      </c>
      <c r="K22" s="32" t="str">
        <f t="shared" si="4"/>
        <v/>
      </c>
      <c r="L22" s="20">
        <v>500</v>
      </c>
      <c r="M22" s="20">
        <v>125</v>
      </c>
      <c r="N22" s="37" t="str">
        <f t="shared" si="5"/>
        <v>Reorder</v>
      </c>
    </row>
    <row r="23" spans="1:14" ht="29" x14ac:dyDescent="0.35">
      <c r="A23" s="121"/>
      <c r="B23" s="104">
        <v>100219</v>
      </c>
      <c r="C23" s="29" t="s">
        <v>62</v>
      </c>
      <c r="D23" s="20" t="s">
        <v>14</v>
      </c>
      <c r="E23" s="23">
        <v>33218</v>
      </c>
      <c r="F23" s="31">
        <f>SUMIF(UnitsTable[Item Description],'STOCK CONTROL SHEET'!C23,UnitsTable[Running Balance])</f>
        <v>0</v>
      </c>
      <c r="G23" s="31">
        <f t="shared" si="0"/>
        <v>33218</v>
      </c>
      <c r="H23" s="23">
        <v>9100</v>
      </c>
      <c r="I23" s="38">
        <f t="shared" si="1"/>
        <v>9100</v>
      </c>
      <c r="J23" s="32">
        <f t="shared" si="3"/>
        <v>24118</v>
      </c>
      <c r="K23" s="32" t="str">
        <f t="shared" si="4"/>
        <v/>
      </c>
      <c r="L23" s="20">
        <v>3000</v>
      </c>
      <c r="M23" s="20">
        <v>1500</v>
      </c>
      <c r="N23" s="37" t="str">
        <f t="shared" si="5"/>
        <v>Available</v>
      </c>
    </row>
    <row r="24" spans="1:14" x14ac:dyDescent="0.35">
      <c r="A24" s="121"/>
      <c r="B24" s="104">
        <v>100178</v>
      </c>
      <c r="C24" s="29" t="s">
        <v>63</v>
      </c>
      <c r="D24" s="20" t="s">
        <v>14</v>
      </c>
      <c r="E24" s="23">
        <v>113</v>
      </c>
      <c r="F24" s="31">
        <f>SUMIF(UnitsTable[Item Description],'STOCK CONTROL SHEET'!C24,UnitsTable[Running Balance])</f>
        <v>0</v>
      </c>
      <c r="G24" s="31">
        <f t="shared" si="0"/>
        <v>113</v>
      </c>
      <c r="H24" s="23">
        <v>1362</v>
      </c>
      <c r="I24" s="38">
        <f t="shared" si="1"/>
        <v>1362</v>
      </c>
      <c r="J24" s="32" t="str">
        <f t="shared" si="3"/>
        <v/>
      </c>
      <c r="K24" s="32">
        <f t="shared" si="4"/>
        <v>1249</v>
      </c>
      <c r="L24" s="20">
        <v>500</v>
      </c>
      <c r="M24" s="20">
        <v>125</v>
      </c>
      <c r="N24" s="37" t="str">
        <f t="shared" si="5"/>
        <v>Available</v>
      </c>
    </row>
    <row r="25" spans="1:14" x14ac:dyDescent="0.35">
      <c r="A25" s="121"/>
      <c r="B25" s="104">
        <v>100143</v>
      </c>
      <c r="C25" s="29" t="s">
        <v>64</v>
      </c>
      <c r="D25" s="20" t="s">
        <v>14</v>
      </c>
      <c r="E25" s="23">
        <v>1650</v>
      </c>
      <c r="F25" s="31">
        <f>SUMIF(UnitsTable[Item Description],'STOCK CONTROL SHEET'!C25,UnitsTable[Running Balance])</f>
        <v>-27100</v>
      </c>
      <c r="G25" s="31" t="str">
        <f t="shared" si="0"/>
        <v/>
      </c>
      <c r="H25" s="23">
        <v>1216</v>
      </c>
      <c r="I25" s="38" t="str">
        <f t="shared" si="1"/>
        <v/>
      </c>
      <c r="J25" s="32" t="e">
        <f t="shared" si="3"/>
        <v>#VALUE!</v>
      </c>
      <c r="K25" s="32" t="e">
        <f t="shared" si="4"/>
        <v>#VALUE!</v>
      </c>
      <c r="L25" s="20">
        <v>200000</v>
      </c>
      <c r="M25" s="20">
        <v>145000</v>
      </c>
      <c r="N25" s="37" t="str">
        <f t="shared" si="5"/>
        <v>Available</v>
      </c>
    </row>
    <row r="26" spans="1:14" ht="29" x14ac:dyDescent="0.35">
      <c r="A26" s="121"/>
      <c r="B26" s="104">
        <v>100145</v>
      </c>
      <c r="C26" s="29" t="s">
        <v>65</v>
      </c>
      <c r="D26" s="20" t="s">
        <v>14</v>
      </c>
      <c r="E26" s="23">
        <v>473900</v>
      </c>
      <c r="F26" s="31">
        <f>SUMIF(UnitsTable[Item Description],'STOCK CONTROL SHEET'!C26,UnitsTable[Running Balance])</f>
        <v>-43000</v>
      </c>
      <c r="G26" s="31">
        <f t="shared" si="0"/>
        <v>430900</v>
      </c>
      <c r="H26" s="23">
        <v>512500</v>
      </c>
      <c r="I26" s="38">
        <f t="shared" si="1"/>
        <v>469500</v>
      </c>
      <c r="J26" s="32" t="str">
        <f t="shared" si="3"/>
        <v/>
      </c>
      <c r="K26" s="32">
        <f t="shared" si="4"/>
        <v>38600</v>
      </c>
      <c r="L26" s="20">
        <v>600000</v>
      </c>
      <c r="M26" s="20">
        <v>154000</v>
      </c>
      <c r="N26" s="37" t="str">
        <f t="shared" si="5"/>
        <v>Available</v>
      </c>
    </row>
    <row r="27" spans="1:14" ht="29" x14ac:dyDescent="0.35">
      <c r="A27" s="121"/>
      <c r="B27" s="104">
        <v>100205</v>
      </c>
      <c r="C27" s="29" t="s">
        <v>66</v>
      </c>
      <c r="D27" s="20" t="s">
        <v>14</v>
      </c>
      <c r="E27" s="23">
        <v>5</v>
      </c>
      <c r="F27" s="31">
        <f>SUMIF(UnitsTable[Item Description],'STOCK CONTROL SHEET'!C27,UnitsTable[Running Balance])</f>
        <v>0</v>
      </c>
      <c r="G27" s="31">
        <f t="shared" si="0"/>
        <v>5</v>
      </c>
      <c r="H27" s="23">
        <v>5</v>
      </c>
      <c r="I27" s="38">
        <f t="shared" si="1"/>
        <v>5</v>
      </c>
      <c r="J27" s="32" t="str">
        <f t="shared" si="3"/>
        <v/>
      </c>
      <c r="K27" s="32" t="str">
        <f t="shared" si="4"/>
        <v/>
      </c>
      <c r="L27" s="20"/>
      <c r="M27" s="20"/>
      <c r="N27" s="37" t="str">
        <f t="shared" si="5"/>
        <v>Available</v>
      </c>
    </row>
    <row r="28" spans="1:14" ht="29" x14ac:dyDescent="0.35">
      <c r="A28" s="121"/>
      <c r="B28" s="104">
        <v>100164</v>
      </c>
      <c r="C28" s="29" t="s">
        <v>67</v>
      </c>
      <c r="D28" s="20" t="s">
        <v>14</v>
      </c>
      <c r="E28" s="23">
        <v>36340</v>
      </c>
      <c r="F28" s="31">
        <f>SUMIF(UnitsTable[Item Description],'STOCK CONTROL SHEET'!C28,UnitsTable[Running Balance])</f>
        <v>0</v>
      </c>
      <c r="G28" s="31">
        <f t="shared" si="0"/>
        <v>36340</v>
      </c>
      <c r="H28" s="23">
        <v>36340</v>
      </c>
      <c r="I28" s="38">
        <f t="shared" si="1"/>
        <v>36340</v>
      </c>
      <c r="J28" s="32" t="str">
        <f t="shared" si="3"/>
        <v/>
      </c>
      <c r="K28" s="32" t="str">
        <f t="shared" si="4"/>
        <v/>
      </c>
      <c r="L28" s="20">
        <v>30000</v>
      </c>
      <c r="M28" s="20">
        <v>3000</v>
      </c>
      <c r="N28" s="37" t="str">
        <f t="shared" si="5"/>
        <v>Available</v>
      </c>
    </row>
    <row r="29" spans="1:14" x14ac:dyDescent="0.35">
      <c r="A29" s="121"/>
      <c r="B29" s="105">
        <v>100211</v>
      </c>
      <c r="C29" s="27" t="s">
        <v>203</v>
      </c>
      <c r="D29" s="23" t="s">
        <v>14</v>
      </c>
      <c r="E29" s="23">
        <v>4910</v>
      </c>
      <c r="F29" s="40">
        <f>SUMIF(UnitsTable[Item Description],'STOCK CONTROL SHEET'!C29,UnitsTable[Running Balance])</f>
        <v>-1400</v>
      </c>
      <c r="G29" s="31">
        <f t="shared" si="0"/>
        <v>3510</v>
      </c>
      <c r="H29" s="23">
        <v>4900</v>
      </c>
      <c r="I29" s="39">
        <f>IF(SUM(H29,F29)&lt;0,"",SUM(H29,F29))</f>
        <v>3500</v>
      </c>
      <c r="J29" s="34">
        <f>IF(G29-I29&lt;=0,"",G29-I29)</f>
        <v>10</v>
      </c>
      <c r="K29" s="34" t="str">
        <f>IF(I29-G29&lt;=0,"",I29-G29)</f>
        <v/>
      </c>
      <c r="L29" s="25"/>
      <c r="M29" s="25">
        <v>1500</v>
      </c>
      <c r="N29" s="37" t="str">
        <f t="shared" si="5"/>
        <v>Available</v>
      </c>
    </row>
    <row r="30" spans="1:14" x14ac:dyDescent="0.35">
      <c r="A30" s="121"/>
      <c r="B30" s="104">
        <v>100222</v>
      </c>
      <c r="C30" s="29" t="s">
        <v>68</v>
      </c>
      <c r="D30" s="20" t="s">
        <v>14</v>
      </c>
      <c r="E30" s="23"/>
      <c r="F30" s="31">
        <f>SUMIF(UnitsTable[Item Description],'STOCK CONTROL SHEET'!C30,UnitsTable[Running Balance])</f>
        <v>0</v>
      </c>
      <c r="G30" s="31">
        <f t="shared" si="0"/>
        <v>0</v>
      </c>
      <c r="H30" s="23"/>
      <c r="I30" s="38">
        <f t="shared" si="1"/>
        <v>0</v>
      </c>
      <c r="J30" s="32" t="str">
        <f t="shared" si="3"/>
        <v/>
      </c>
      <c r="K30" s="32" t="str">
        <f t="shared" si="4"/>
        <v/>
      </c>
      <c r="L30" s="20"/>
      <c r="M30" s="20"/>
      <c r="N30" s="37" t="str">
        <f t="shared" si="5"/>
        <v>Reorder</v>
      </c>
    </row>
    <row r="31" spans="1:14" x14ac:dyDescent="0.35">
      <c r="A31" s="121"/>
      <c r="B31" s="104">
        <v>26</v>
      </c>
      <c r="C31" s="29" t="s">
        <v>69</v>
      </c>
      <c r="D31" s="20" t="s">
        <v>14</v>
      </c>
      <c r="E31" s="23">
        <v>20</v>
      </c>
      <c r="F31" s="31">
        <f>SUMIF(UnitsTable[Item Description],'STOCK CONTROL SHEET'!C31,UnitsTable[Running Balance])</f>
        <v>0</v>
      </c>
      <c r="G31" s="31">
        <f t="shared" si="0"/>
        <v>20</v>
      </c>
      <c r="H31" s="23">
        <v>68</v>
      </c>
      <c r="I31" s="38">
        <f t="shared" si="1"/>
        <v>68</v>
      </c>
      <c r="J31" s="32" t="str">
        <f t="shared" si="3"/>
        <v/>
      </c>
      <c r="K31" s="32">
        <f t="shared" si="4"/>
        <v>48</v>
      </c>
      <c r="L31" s="20"/>
      <c r="M31" s="20"/>
      <c r="N31" s="37" t="str">
        <f t="shared" si="5"/>
        <v>Available</v>
      </c>
    </row>
    <row r="32" spans="1:14" x14ac:dyDescent="0.35">
      <c r="A32" s="121"/>
      <c r="B32" s="104">
        <v>27</v>
      </c>
      <c r="C32" s="29" t="s">
        <v>70</v>
      </c>
      <c r="D32" s="20" t="s">
        <v>14</v>
      </c>
      <c r="E32" s="23">
        <v>0</v>
      </c>
      <c r="F32" s="31">
        <f>SUMIF(UnitsTable[Item Description],'STOCK CONTROL SHEET'!C32,UnitsTable[Running Balance])</f>
        <v>0</v>
      </c>
      <c r="G32" s="31">
        <f t="shared" si="0"/>
        <v>0</v>
      </c>
      <c r="H32" s="23">
        <v>1500</v>
      </c>
      <c r="I32" s="38">
        <f t="shared" si="1"/>
        <v>1500</v>
      </c>
      <c r="J32" s="32" t="str">
        <f t="shared" si="3"/>
        <v/>
      </c>
      <c r="K32" s="32">
        <f t="shared" si="4"/>
        <v>1500</v>
      </c>
      <c r="L32" s="20"/>
      <c r="M32" s="20"/>
      <c r="N32" s="37" t="str">
        <f t="shared" si="5"/>
        <v>Available</v>
      </c>
    </row>
    <row r="33" spans="1:14" ht="29" x14ac:dyDescent="0.35">
      <c r="A33" s="121"/>
      <c r="B33" s="104">
        <v>100181</v>
      </c>
      <c r="C33" s="29" t="s">
        <v>71</v>
      </c>
      <c r="D33" s="20" t="s">
        <v>14</v>
      </c>
      <c r="E33" s="23">
        <v>26065</v>
      </c>
      <c r="F33" s="31">
        <f>SUMIF(UnitsTable[Item Description],'STOCK CONTROL SHEET'!C33,UnitsTable[Running Balance])</f>
        <v>-2700</v>
      </c>
      <c r="G33" s="31">
        <f t="shared" si="0"/>
        <v>23365</v>
      </c>
      <c r="H33" s="23">
        <v>23400</v>
      </c>
      <c r="I33" s="38">
        <f t="shared" si="1"/>
        <v>20700</v>
      </c>
      <c r="J33" s="32">
        <f t="shared" si="3"/>
        <v>2665</v>
      </c>
      <c r="K33" s="32" t="str">
        <f t="shared" si="4"/>
        <v/>
      </c>
      <c r="L33" s="20">
        <v>400000</v>
      </c>
      <c r="M33" s="20">
        <v>9000</v>
      </c>
      <c r="N33" s="37" t="str">
        <f t="shared" si="5"/>
        <v>Available</v>
      </c>
    </row>
    <row r="34" spans="1:14" ht="29" x14ac:dyDescent="0.35">
      <c r="A34" s="121"/>
      <c r="B34" s="104">
        <v>100213</v>
      </c>
      <c r="C34" s="29" t="s">
        <v>210</v>
      </c>
      <c r="D34" s="20" t="s">
        <v>14</v>
      </c>
      <c r="E34" s="23">
        <v>33298</v>
      </c>
      <c r="F34" s="31">
        <f>SUMIF(UnitsTable[Item Description],'STOCK CONTROL SHEET'!C34,UnitsTable[Running Balance])</f>
        <v>-1000</v>
      </c>
      <c r="G34" s="31">
        <f t="shared" si="0"/>
        <v>32298</v>
      </c>
      <c r="H34" s="23">
        <v>33298</v>
      </c>
      <c r="I34" s="38">
        <f t="shared" si="1"/>
        <v>32298</v>
      </c>
      <c r="J34" s="32" t="str">
        <f t="shared" si="3"/>
        <v/>
      </c>
      <c r="K34" s="32" t="str">
        <f t="shared" si="4"/>
        <v/>
      </c>
      <c r="L34" s="20">
        <v>50000</v>
      </c>
      <c r="M34" s="20">
        <v>12500</v>
      </c>
      <c r="N34" s="37" t="str">
        <f t="shared" si="5"/>
        <v>Available</v>
      </c>
    </row>
    <row r="35" spans="1:14" x14ac:dyDescent="0.35">
      <c r="A35" s="121"/>
      <c r="B35" s="104">
        <v>100177</v>
      </c>
      <c r="C35" s="29" t="s">
        <v>219</v>
      </c>
      <c r="D35" s="20" t="s">
        <v>14</v>
      </c>
      <c r="E35" s="23">
        <v>425</v>
      </c>
      <c r="F35" s="31">
        <f>SUMIF(UnitsTable[Item Description],'STOCK CONTROL SHEET'!C35,UnitsTable[Running Balance])</f>
        <v>0</v>
      </c>
      <c r="G35" s="31">
        <f t="shared" si="0"/>
        <v>425</v>
      </c>
      <c r="H35" s="23">
        <v>679</v>
      </c>
      <c r="I35" s="38">
        <f t="shared" si="1"/>
        <v>679</v>
      </c>
      <c r="J35" s="32" t="str">
        <f t="shared" si="3"/>
        <v/>
      </c>
      <c r="K35" s="32">
        <f t="shared" si="4"/>
        <v>254</v>
      </c>
      <c r="L35" s="20"/>
      <c r="M35" s="20">
        <v>1250</v>
      </c>
      <c r="N35" s="37" t="str">
        <f t="shared" si="5"/>
        <v>Reorder</v>
      </c>
    </row>
    <row r="36" spans="1:14" ht="29" x14ac:dyDescent="0.35">
      <c r="A36" s="121"/>
      <c r="B36" s="104">
        <v>100159</v>
      </c>
      <c r="C36" s="29" t="s">
        <v>72</v>
      </c>
      <c r="D36" s="20" t="s">
        <v>14</v>
      </c>
      <c r="E36" s="23">
        <v>0</v>
      </c>
      <c r="F36" s="31">
        <f>SUMIF(UnitsTable[Item Description],'STOCK CONTROL SHEET'!C36,UnitsTable[Running Balance])</f>
        <v>0</v>
      </c>
      <c r="G36" s="31">
        <f t="shared" si="0"/>
        <v>0</v>
      </c>
      <c r="H36" s="23">
        <v>159</v>
      </c>
      <c r="I36" s="38">
        <f t="shared" si="1"/>
        <v>159</v>
      </c>
      <c r="J36" s="32" t="str">
        <f t="shared" si="3"/>
        <v/>
      </c>
      <c r="K36" s="32">
        <f t="shared" si="4"/>
        <v>159</v>
      </c>
      <c r="L36" s="20"/>
      <c r="M36" s="20"/>
      <c r="N36" s="37" t="str">
        <f t="shared" si="5"/>
        <v>Available</v>
      </c>
    </row>
    <row r="37" spans="1:14" x14ac:dyDescent="0.35">
      <c r="A37" s="121"/>
      <c r="B37" s="104">
        <v>100150</v>
      </c>
      <c r="C37" s="29" t="s">
        <v>73</v>
      </c>
      <c r="D37" s="20" t="s">
        <v>14</v>
      </c>
      <c r="E37" s="23">
        <v>4225</v>
      </c>
      <c r="F37" s="31">
        <f>SUMIF(UnitsTable[Item Description],'STOCK CONTROL SHEET'!C37,UnitsTable[Running Balance])</f>
        <v>0</v>
      </c>
      <c r="G37" s="31">
        <f t="shared" si="0"/>
        <v>4225</v>
      </c>
      <c r="H37" s="23">
        <v>4225</v>
      </c>
      <c r="I37" s="38">
        <f t="shared" si="1"/>
        <v>4225</v>
      </c>
      <c r="J37" s="32" t="str">
        <f t="shared" si="3"/>
        <v/>
      </c>
      <c r="K37" s="32" t="str">
        <f t="shared" si="4"/>
        <v/>
      </c>
      <c r="L37" s="20"/>
      <c r="M37" s="20"/>
      <c r="N37" s="37" t="str">
        <f t="shared" si="5"/>
        <v>Available</v>
      </c>
    </row>
    <row r="38" spans="1:14" ht="29.5" thickBot="1" x14ac:dyDescent="0.4">
      <c r="A38" s="122"/>
      <c r="B38" s="104">
        <v>100127</v>
      </c>
      <c r="C38" s="29" t="s">
        <v>74</v>
      </c>
      <c r="D38" s="20" t="s">
        <v>14</v>
      </c>
      <c r="E38" s="23">
        <v>1140</v>
      </c>
      <c r="F38" s="31">
        <f>SUMIF(UnitsTable[Item Description],'STOCK CONTROL SHEET'!C38,UnitsTable[Running Balance])</f>
        <v>0</v>
      </c>
      <c r="G38" s="31">
        <f t="shared" si="0"/>
        <v>1140</v>
      </c>
      <c r="H38" s="23">
        <v>750</v>
      </c>
      <c r="I38" s="38">
        <f t="shared" si="1"/>
        <v>750</v>
      </c>
      <c r="J38" s="32">
        <f t="shared" si="3"/>
        <v>390</v>
      </c>
      <c r="K38" s="32" t="str">
        <f t="shared" si="4"/>
        <v/>
      </c>
      <c r="L38" s="20">
        <v>15000</v>
      </c>
      <c r="M38" s="20">
        <v>5000</v>
      </c>
      <c r="N38" s="37" t="str">
        <f t="shared" si="5"/>
        <v>Reorder</v>
      </c>
    </row>
    <row r="39" spans="1:14" ht="30" customHeight="1" x14ac:dyDescent="0.35">
      <c r="A39" s="114" t="s">
        <v>190</v>
      </c>
      <c r="B39" s="106">
        <v>100172</v>
      </c>
      <c r="C39" s="86" t="s">
        <v>75</v>
      </c>
      <c r="D39" s="87" t="s">
        <v>14</v>
      </c>
      <c r="E39" s="87">
        <v>82000</v>
      </c>
      <c r="F39" s="87">
        <f>SUMIF(ComputerStoreUnitsTable[Item Description],'STOCK CONTROL SHEET'!C39,ComputerStoreUnitsTable[Running Balance])</f>
        <v>-1000</v>
      </c>
      <c r="G39" s="87">
        <f>IF(SUM(E39,F39)&lt;0,"",SUM(E39,F39))</f>
        <v>81000</v>
      </c>
      <c r="H39" s="87">
        <v>236000</v>
      </c>
      <c r="I39" s="88">
        <f t="shared" ref="I39:I70" si="6">IF(SUM(H39,F39)&lt;0,"",SUM(H39,F39))</f>
        <v>235000</v>
      </c>
      <c r="J39" s="87" t="str">
        <f t="shared" ref="J39:J70" si="7">IF(G39-I39&lt;=0,"",G39-I39)</f>
        <v/>
      </c>
      <c r="K39" s="87">
        <f t="shared" ref="K39:K70" si="8">IF(I39-G39&lt;=0,"",I39-G39)</f>
        <v>154000</v>
      </c>
      <c r="L39" s="87">
        <v>400000</v>
      </c>
      <c r="M39" s="87">
        <v>150000</v>
      </c>
      <c r="N39" s="89" t="str">
        <f t="shared" ref="N39:N102" si="9">IF(I39&lt;=M39,"Reorder","Available")</f>
        <v>Available</v>
      </c>
    </row>
    <row r="40" spans="1:14" ht="30" customHeight="1" x14ac:dyDescent="0.35">
      <c r="A40" s="115"/>
      <c r="B40" s="107">
        <v>41</v>
      </c>
      <c r="C40" s="90" t="s">
        <v>205</v>
      </c>
      <c r="D40" s="91" t="s">
        <v>11</v>
      </c>
      <c r="E40" s="91"/>
      <c r="F40" s="91">
        <f>SUMIF(ComputerStoreUnitsTable[Item Description],'STOCK CONTROL SHEET'!C40,ComputerStoreUnitsTable[Running Balance])</f>
        <v>0</v>
      </c>
      <c r="G40" s="91">
        <f>IF(SUM(E40,F40)&lt;0,"",SUM(E40,F40))</f>
        <v>0</v>
      </c>
      <c r="H40" s="91"/>
      <c r="I40" s="92">
        <f t="shared" si="6"/>
        <v>0</v>
      </c>
      <c r="J40" s="91" t="str">
        <f t="shared" si="7"/>
        <v/>
      </c>
      <c r="K40" s="91" t="str">
        <f t="shared" si="8"/>
        <v/>
      </c>
      <c r="L40" s="91"/>
      <c r="M40" s="91"/>
      <c r="N40" s="84" t="str">
        <f t="shared" si="9"/>
        <v>Reorder</v>
      </c>
    </row>
    <row r="41" spans="1:14" ht="30" customHeight="1" x14ac:dyDescent="0.35">
      <c r="A41" s="115"/>
      <c r="B41" s="108"/>
      <c r="C41" s="93" t="s">
        <v>237</v>
      </c>
      <c r="D41" s="94" t="s">
        <v>11</v>
      </c>
      <c r="E41" s="94"/>
      <c r="F41" s="95">
        <f>SUMIF(ComputerStoreUnitsTable[Item Description],'STOCK CONTROL SHEET'!C41,ComputerStoreUnitsTable[Running Balance])</f>
        <v>0</v>
      </c>
      <c r="G41" s="94">
        <f>SUM(E41,F41)</f>
        <v>0</v>
      </c>
      <c r="H41" s="94">
        <v>3</v>
      </c>
      <c r="I41" s="92">
        <f t="shared" si="6"/>
        <v>3</v>
      </c>
      <c r="J41" s="94" t="str">
        <f t="shared" si="7"/>
        <v/>
      </c>
      <c r="K41" s="94">
        <f t="shared" si="8"/>
        <v>3</v>
      </c>
      <c r="L41" s="94"/>
      <c r="M41" s="94"/>
      <c r="N41" s="84" t="str">
        <f t="shared" si="9"/>
        <v>Available</v>
      </c>
    </row>
    <row r="42" spans="1:14" ht="30" customHeight="1" x14ac:dyDescent="0.35">
      <c r="A42" s="115"/>
      <c r="B42" s="107"/>
      <c r="C42" s="90" t="s">
        <v>238</v>
      </c>
      <c r="D42" s="91" t="s">
        <v>11</v>
      </c>
      <c r="E42" s="91"/>
      <c r="F42" s="91">
        <f>SUMIF(ComputerStoreUnitsTable[Item Description],'STOCK CONTROL SHEET'!C42,ComputerStoreUnitsTable[Running Balance])</f>
        <v>0</v>
      </c>
      <c r="G42" s="91">
        <f>SUM(E42,F42)</f>
        <v>0</v>
      </c>
      <c r="H42" s="91">
        <v>1</v>
      </c>
      <c r="I42" s="92">
        <f t="shared" si="6"/>
        <v>1</v>
      </c>
      <c r="J42" s="91" t="str">
        <f t="shared" si="7"/>
        <v/>
      </c>
      <c r="K42" s="91">
        <f t="shared" si="8"/>
        <v>1</v>
      </c>
      <c r="L42" s="91"/>
      <c r="M42" s="91"/>
      <c r="N42" s="84" t="str">
        <f t="shared" si="9"/>
        <v>Available</v>
      </c>
    </row>
    <row r="43" spans="1:14" ht="30" customHeight="1" x14ac:dyDescent="0.35">
      <c r="A43" s="115"/>
      <c r="B43" s="108"/>
      <c r="C43" s="93" t="s">
        <v>239</v>
      </c>
      <c r="D43" s="94" t="s">
        <v>11</v>
      </c>
      <c r="E43" s="94"/>
      <c r="F43" s="95">
        <f>SUMIF(ComputerStoreUnitsTable[Item Description],'STOCK CONTROL SHEET'!C43,ComputerStoreUnitsTable[Running Balance])</f>
        <v>0</v>
      </c>
      <c r="G43" s="94">
        <f>SUM(E43,F43)</f>
        <v>0</v>
      </c>
      <c r="H43" s="94">
        <v>5</v>
      </c>
      <c r="I43" s="92">
        <f t="shared" si="6"/>
        <v>5</v>
      </c>
      <c r="J43" s="94" t="str">
        <f t="shared" si="7"/>
        <v/>
      </c>
      <c r="K43" s="94">
        <f t="shared" si="8"/>
        <v>5</v>
      </c>
      <c r="L43" s="94"/>
      <c r="M43" s="94"/>
      <c r="N43" s="84" t="str">
        <f t="shared" si="9"/>
        <v>Available</v>
      </c>
    </row>
    <row r="44" spans="1:14" ht="30" customHeight="1" x14ac:dyDescent="0.35">
      <c r="A44" s="115"/>
      <c r="B44" s="107"/>
      <c r="C44" s="90" t="s">
        <v>240</v>
      </c>
      <c r="D44" s="91" t="s">
        <v>11</v>
      </c>
      <c r="E44" s="91"/>
      <c r="F44" s="91">
        <f>SUMIF(ComputerStoreUnitsTable[Item Description],'STOCK CONTROL SHEET'!C44,ComputerStoreUnitsTable[Running Balance])</f>
        <v>0</v>
      </c>
      <c r="G44" s="91">
        <f>SUM(E44,F44)</f>
        <v>0</v>
      </c>
      <c r="H44" s="91">
        <v>7</v>
      </c>
      <c r="I44" s="92">
        <f t="shared" si="6"/>
        <v>7</v>
      </c>
      <c r="J44" s="91" t="str">
        <f t="shared" si="7"/>
        <v/>
      </c>
      <c r="K44" s="91">
        <f t="shared" si="8"/>
        <v>7</v>
      </c>
      <c r="L44" s="91"/>
      <c r="M44" s="91"/>
      <c r="N44" s="84" t="str">
        <f t="shared" si="9"/>
        <v>Available</v>
      </c>
    </row>
    <row r="45" spans="1:14" ht="30" customHeight="1" x14ac:dyDescent="0.35">
      <c r="A45" s="115"/>
      <c r="B45" s="108"/>
      <c r="C45" s="93" t="s">
        <v>236</v>
      </c>
      <c r="D45" s="94" t="s">
        <v>11</v>
      </c>
      <c r="E45" s="94"/>
      <c r="F45" s="95">
        <f>SUMIF(ComputerStoreUnitsTable[Item Description],'STOCK CONTROL SHEET'!C45,ComputerStoreUnitsTable[Running Balance])</f>
        <v>0</v>
      </c>
      <c r="G45" s="94">
        <f>SUM(E45,F45)</f>
        <v>0</v>
      </c>
      <c r="H45" s="94">
        <v>6</v>
      </c>
      <c r="I45" s="92">
        <f t="shared" si="6"/>
        <v>6</v>
      </c>
      <c r="J45" s="94" t="str">
        <f t="shared" si="7"/>
        <v/>
      </c>
      <c r="K45" s="94">
        <f t="shared" si="8"/>
        <v>6</v>
      </c>
      <c r="L45" s="94"/>
      <c r="M45" s="94"/>
      <c r="N45" s="84" t="str">
        <f t="shared" si="9"/>
        <v>Available</v>
      </c>
    </row>
    <row r="46" spans="1:14" ht="30" customHeight="1" x14ac:dyDescent="0.35">
      <c r="A46" s="115"/>
      <c r="B46" s="107">
        <v>100229</v>
      </c>
      <c r="C46" s="90" t="s">
        <v>76</v>
      </c>
      <c r="D46" s="91" t="s">
        <v>14</v>
      </c>
      <c r="E46" s="91">
        <v>52000</v>
      </c>
      <c r="F46" s="91">
        <f>SUMIF(ComputerStoreUnitsTable[Item Description],'STOCK CONTROL SHEET'!C46,ComputerStoreUnitsTable[Running Balance])</f>
        <v>0</v>
      </c>
      <c r="G46" s="91">
        <f>IF(SUM(E46,F46)&lt;0,"",SUM(E46,F46))</f>
        <v>52000</v>
      </c>
      <c r="H46" s="91">
        <v>230000</v>
      </c>
      <c r="I46" s="92">
        <f t="shared" si="6"/>
        <v>230000</v>
      </c>
      <c r="J46" s="91" t="str">
        <f t="shared" si="7"/>
        <v/>
      </c>
      <c r="K46" s="91">
        <f t="shared" si="8"/>
        <v>178000</v>
      </c>
      <c r="L46" s="91">
        <v>600000</v>
      </c>
      <c r="M46" s="91">
        <v>150000</v>
      </c>
      <c r="N46" s="84" t="str">
        <f t="shared" si="9"/>
        <v>Available</v>
      </c>
    </row>
    <row r="47" spans="1:14" ht="30" customHeight="1" x14ac:dyDescent="0.35">
      <c r="A47" s="115"/>
      <c r="B47" s="108">
        <v>200033</v>
      </c>
      <c r="C47" s="93" t="s">
        <v>77</v>
      </c>
      <c r="D47" s="94" t="s">
        <v>14</v>
      </c>
      <c r="E47" s="94">
        <v>51</v>
      </c>
      <c r="F47" s="95">
        <f>SUMIF(ComputerStoreUnitsTable[Item Description],'STOCK CONTROL SHEET'!C47,ComputerStoreUnitsTable[Running Balance])</f>
        <v>0</v>
      </c>
      <c r="G47" s="94">
        <f>IF(SUM(E47,F47)&lt;0,"",SUM(E47,F47))</f>
        <v>51</v>
      </c>
      <c r="H47" s="94">
        <v>53</v>
      </c>
      <c r="I47" s="92">
        <f t="shared" si="6"/>
        <v>53</v>
      </c>
      <c r="J47" s="94" t="str">
        <f t="shared" si="7"/>
        <v/>
      </c>
      <c r="K47" s="94">
        <f t="shared" si="8"/>
        <v>2</v>
      </c>
      <c r="L47" s="94"/>
      <c r="M47" s="94"/>
      <c r="N47" s="84" t="str">
        <f t="shared" si="9"/>
        <v>Available</v>
      </c>
    </row>
    <row r="48" spans="1:14" ht="30" customHeight="1" x14ac:dyDescent="0.35">
      <c r="A48" s="115"/>
      <c r="B48" s="107">
        <v>37</v>
      </c>
      <c r="C48" s="90" t="s">
        <v>78</v>
      </c>
      <c r="D48" s="91" t="s">
        <v>11</v>
      </c>
      <c r="E48" s="91"/>
      <c r="F48" s="91">
        <f>SUMIF(ComputerStoreUnitsTable[Item Description],'STOCK CONTROL SHEET'!C48,ComputerStoreUnitsTable[Running Balance])</f>
        <v>0</v>
      </c>
      <c r="G48" s="91">
        <f>IF(SUM(E48,F48)&lt;0,"",SUM(E48,F48))</f>
        <v>0</v>
      </c>
      <c r="H48" s="91"/>
      <c r="I48" s="92">
        <f t="shared" si="6"/>
        <v>0</v>
      </c>
      <c r="J48" s="91" t="str">
        <f t="shared" si="7"/>
        <v/>
      </c>
      <c r="K48" s="91" t="str">
        <f t="shared" si="8"/>
        <v/>
      </c>
      <c r="L48" s="91"/>
      <c r="M48" s="91"/>
      <c r="N48" s="84" t="str">
        <f t="shared" si="9"/>
        <v>Reorder</v>
      </c>
    </row>
    <row r="49" spans="1:14" ht="30" customHeight="1" x14ac:dyDescent="0.35">
      <c r="A49" s="115"/>
      <c r="B49" s="108">
        <v>200033</v>
      </c>
      <c r="C49" s="93" t="s">
        <v>251</v>
      </c>
      <c r="D49" s="94" t="s">
        <v>11</v>
      </c>
      <c r="E49" s="94"/>
      <c r="F49" s="95">
        <f>SUMIF(ComputerStoreUnitsTable[Item Description],'STOCK CONTROL SHEET'!C49,ComputerStoreUnitsTable[Running Balance])</f>
        <v>0</v>
      </c>
      <c r="G49" s="94">
        <f>SUM(E49,F49)</f>
        <v>0</v>
      </c>
      <c r="H49" s="94">
        <v>11</v>
      </c>
      <c r="I49" s="92">
        <f t="shared" si="6"/>
        <v>11</v>
      </c>
      <c r="J49" s="94" t="str">
        <f t="shared" si="7"/>
        <v/>
      </c>
      <c r="K49" s="94">
        <f t="shared" si="8"/>
        <v>11</v>
      </c>
      <c r="L49" s="94"/>
      <c r="M49" s="94"/>
      <c r="N49" s="84" t="str">
        <f t="shared" si="9"/>
        <v>Available</v>
      </c>
    </row>
    <row r="50" spans="1:14" ht="30" customHeight="1" x14ac:dyDescent="0.35">
      <c r="A50" s="115"/>
      <c r="B50" s="107"/>
      <c r="C50" s="90" t="s">
        <v>252</v>
      </c>
      <c r="D50" s="91" t="s">
        <v>11</v>
      </c>
      <c r="E50" s="91"/>
      <c r="F50" s="91">
        <f>SUMIF(ComputerStoreUnitsTable[Item Description],'STOCK CONTROL SHEET'!C50,ComputerStoreUnitsTable[Running Balance])</f>
        <v>0</v>
      </c>
      <c r="G50" s="91">
        <f>SUM(E50,F50)</f>
        <v>0</v>
      </c>
      <c r="H50" s="91">
        <v>9</v>
      </c>
      <c r="I50" s="92">
        <f t="shared" si="6"/>
        <v>9</v>
      </c>
      <c r="J50" s="91" t="str">
        <f t="shared" si="7"/>
        <v/>
      </c>
      <c r="K50" s="91">
        <f t="shared" si="8"/>
        <v>9</v>
      </c>
      <c r="L50" s="91"/>
      <c r="M50" s="91"/>
      <c r="N50" s="84" t="str">
        <f t="shared" si="9"/>
        <v>Available</v>
      </c>
    </row>
    <row r="51" spans="1:14" ht="30" customHeight="1" x14ac:dyDescent="0.35">
      <c r="A51" s="115"/>
      <c r="B51" s="108"/>
      <c r="C51" s="93" t="s">
        <v>250</v>
      </c>
      <c r="D51" s="94" t="s">
        <v>11</v>
      </c>
      <c r="E51" s="94"/>
      <c r="F51" s="95">
        <f>SUMIF(ComputerStoreUnitsTable[Item Description],'STOCK CONTROL SHEET'!C51,ComputerStoreUnitsTable[Running Balance])</f>
        <v>0</v>
      </c>
      <c r="G51" s="94">
        <f>SUM(E51,F51)</f>
        <v>0</v>
      </c>
      <c r="H51" s="94">
        <v>6</v>
      </c>
      <c r="I51" s="92">
        <f t="shared" si="6"/>
        <v>6</v>
      </c>
      <c r="J51" s="94" t="str">
        <f t="shared" si="7"/>
        <v/>
      </c>
      <c r="K51" s="94">
        <f t="shared" si="8"/>
        <v>6</v>
      </c>
      <c r="L51" s="94"/>
      <c r="M51" s="94"/>
      <c r="N51" s="84" t="str">
        <f t="shared" si="9"/>
        <v>Available</v>
      </c>
    </row>
    <row r="52" spans="1:14" ht="30" customHeight="1" x14ac:dyDescent="0.35">
      <c r="A52" s="115"/>
      <c r="B52" s="107"/>
      <c r="C52" s="90" t="s">
        <v>249</v>
      </c>
      <c r="D52" s="91" t="s">
        <v>11</v>
      </c>
      <c r="E52" s="91"/>
      <c r="F52" s="91">
        <f>SUMIF(ComputerStoreUnitsTable[Item Description],'STOCK CONTROL SHEET'!C52,ComputerStoreUnitsTable[Running Balance])</f>
        <v>0</v>
      </c>
      <c r="G52" s="91">
        <f>SUM(E52,F52)</f>
        <v>0</v>
      </c>
      <c r="H52" s="91">
        <v>19</v>
      </c>
      <c r="I52" s="92">
        <f t="shared" si="6"/>
        <v>19</v>
      </c>
      <c r="J52" s="91" t="str">
        <f t="shared" si="7"/>
        <v/>
      </c>
      <c r="K52" s="91">
        <f t="shared" si="8"/>
        <v>19</v>
      </c>
      <c r="L52" s="91"/>
      <c r="M52" s="91"/>
      <c r="N52" s="84" t="str">
        <f t="shared" si="9"/>
        <v>Available</v>
      </c>
    </row>
    <row r="53" spans="1:14" ht="30" customHeight="1" x14ac:dyDescent="0.35">
      <c r="A53" s="115"/>
      <c r="B53" s="108">
        <v>200024</v>
      </c>
      <c r="C53" s="93" t="s">
        <v>212</v>
      </c>
      <c r="D53" s="94" t="s">
        <v>14</v>
      </c>
      <c r="E53" s="94"/>
      <c r="F53" s="95">
        <f>SUMIF(ComputerStoreUnitsTable[Item Description],'STOCK CONTROL SHEET'!C53,ComputerStoreUnitsTable[Running Balance])</f>
        <v>0</v>
      </c>
      <c r="G53" s="94">
        <f>IF(SUM(E53,F53)&lt;0,"",SUM(E53,F53))</f>
        <v>0</v>
      </c>
      <c r="H53" s="94">
        <v>7</v>
      </c>
      <c r="I53" s="92">
        <f t="shared" si="6"/>
        <v>7</v>
      </c>
      <c r="J53" s="94" t="str">
        <f t="shared" si="7"/>
        <v/>
      </c>
      <c r="K53" s="94">
        <f t="shared" si="8"/>
        <v>7</v>
      </c>
      <c r="L53" s="94"/>
      <c r="M53" s="94"/>
      <c r="N53" s="84" t="str">
        <f t="shared" si="9"/>
        <v>Available</v>
      </c>
    </row>
    <row r="54" spans="1:14" ht="30" customHeight="1" x14ac:dyDescent="0.35">
      <c r="A54" s="115"/>
      <c r="B54" s="107">
        <v>200031</v>
      </c>
      <c r="C54" s="90" t="s">
        <v>79</v>
      </c>
      <c r="D54" s="91" t="s">
        <v>11</v>
      </c>
      <c r="E54" s="91"/>
      <c r="F54" s="91">
        <f>SUMIF(ComputerStoreUnitsTable[Item Description],'STOCK CONTROL SHEET'!C54,ComputerStoreUnitsTable[Running Balance])</f>
        <v>0</v>
      </c>
      <c r="G54" s="91">
        <f>IF(SUM(E54,F54)&lt;0,"",SUM(E54,F54))</f>
        <v>0</v>
      </c>
      <c r="H54" s="91">
        <v>5</v>
      </c>
      <c r="I54" s="92">
        <f t="shared" si="6"/>
        <v>5</v>
      </c>
      <c r="J54" s="91" t="str">
        <f t="shared" si="7"/>
        <v/>
      </c>
      <c r="K54" s="91">
        <f t="shared" si="8"/>
        <v>5</v>
      </c>
      <c r="L54" s="91">
        <v>6</v>
      </c>
      <c r="M54" s="91">
        <v>2</v>
      </c>
      <c r="N54" s="84" t="str">
        <f t="shared" si="9"/>
        <v>Available</v>
      </c>
    </row>
    <row r="55" spans="1:14" ht="30" customHeight="1" x14ac:dyDescent="0.35">
      <c r="A55" s="115"/>
      <c r="B55" s="108"/>
      <c r="C55" s="93" t="s">
        <v>246</v>
      </c>
      <c r="D55" s="94" t="s">
        <v>11</v>
      </c>
      <c r="E55" s="94"/>
      <c r="F55" s="95">
        <f>SUMIF(ComputerStoreUnitsTable[Item Description],'STOCK CONTROL SHEET'!C55,ComputerStoreUnitsTable[Running Balance])</f>
        <v>0</v>
      </c>
      <c r="G55" s="94">
        <f>SUM(E55,F55)</f>
        <v>0</v>
      </c>
      <c r="H55" s="94">
        <v>1</v>
      </c>
      <c r="I55" s="92">
        <f t="shared" si="6"/>
        <v>1</v>
      </c>
      <c r="J55" s="94" t="str">
        <f t="shared" si="7"/>
        <v/>
      </c>
      <c r="K55" s="94">
        <f t="shared" si="8"/>
        <v>1</v>
      </c>
      <c r="L55" s="94"/>
      <c r="M55" s="94"/>
      <c r="N55" s="84" t="str">
        <f t="shared" si="9"/>
        <v>Available</v>
      </c>
    </row>
    <row r="56" spans="1:14" ht="30" customHeight="1" x14ac:dyDescent="0.35">
      <c r="A56" s="115"/>
      <c r="B56" s="107">
        <v>200030</v>
      </c>
      <c r="C56" s="90" t="s">
        <v>80</v>
      </c>
      <c r="D56" s="91" t="s">
        <v>11</v>
      </c>
      <c r="E56" s="91"/>
      <c r="F56" s="91">
        <f>SUMIF(ComputerStoreUnitsTable[Item Description],'STOCK CONTROL SHEET'!C56,ComputerStoreUnitsTable[Running Balance])</f>
        <v>0</v>
      </c>
      <c r="G56" s="91">
        <f>IF(SUM(E56,F56)&lt;0,"",SUM(E56,F56))</f>
        <v>0</v>
      </c>
      <c r="H56" s="91">
        <v>8</v>
      </c>
      <c r="I56" s="92">
        <f t="shared" si="6"/>
        <v>8</v>
      </c>
      <c r="J56" s="91" t="str">
        <f t="shared" si="7"/>
        <v/>
      </c>
      <c r="K56" s="91">
        <f t="shared" si="8"/>
        <v>8</v>
      </c>
      <c r="L56" s="91"/>
      <c r="M56" s="91"/>
      <c r="N56" s="84" t="str">
        <f t="shared" si="9"/>
        <v>Available</v>
      </c>
    </row>
    <row r="57" spans="1:14" ht="30" customHeight="1" x14ac:dyDescent="0.35">
      <c r="A57" s="115"/>
      <c r="B57" s="108">
        <v>200067</v>
      </c>
      <c r="C57" s="93" t="s">
        <v>81</v>
      </c>
      <c r="D57" s="94" t="s">
        <v>11</v>
      </c>
      <c r="E57" s="94">
        <v>23</v>
      </c>
      <c r="F57" s="95">
        <f>SUMIF(ComputerStoreUnitsTable[Item Description],'STOCK CONTROL SHEET'!C57,ComputerStoreUnitsTable[Running Balance])</f>
        <v>0</v>
      </c>
      <c r="G57" s="94">
        <f>IF(SUM(E57,F57)&lt;0,"",SUM(E57,F57))</f>
        <v>23</v>
      </c>
      <c r="H57" s="94">
        <v>0</v>
      </c>
      <c r="I57" s="92">
        <f t="shared" si="6"/>
        <v>0</v>
      </c>
      <c r="J57" s="94">
        <f t="shared" si="7"/>
        <v>23</v>
      </c>
      <c r="K57" s="94" t="str">
        <f t="shared" si="8"/>
        <v/>
      </c>
      <c r="L57" s="94">
        <v>40</v>
      </c>
      <c r="M57" s="94">
        <v>9</v>
      </c>
      <c r="N57" s="84" t="str">
        <f t="shared" si="9"/>
        <v>Reorder</v>
      </c>
    </row>
    <row r="58" spans="1:14" ht="63.5" customHeight="1" x14ac:dyDescent="0.35">
      <c r="A58" s="115"/>
      <c r="B58" s="107">
        <v>200034</v>
      </c>
      <c r="C58" s="90" t="s">
        <v>82</v>
      </c>
      <c r="D58" s="91" t="s">
        <v>11</v>
      </c>
      <c r="E58" s="91"/>
      <c r="F58" s="91">
        <f>SUMIF(ComputerStoreUnitsTable[Item Description],'STOCK CONTROL SHEET'!C58,ComputerStoreUnitsTable[Running Balance])</f>
        <v>0</v>
      </c>
      <c r="G58" s="91">
        <f>IF(SUM(E58,F58)&lt;0,"",SUM(E58,F58))</f>
        <v>0</v>
      </c>
      <c r="H58" s="91"/>
      <c r="I58" s="92">
        <f t="shared" si="6"/>
        <v>0</v>
      </c>
      <c r="J58" s="91" t="str">
        <f t="shared" si="7"/>
        <v/>
      </c>
      <c r="K58" s="91" t="str">
        <f t="shared" si="8"/>
        <v/>
      </c>
      <c r="L58" s="91"/>
      <c r="M58" s="91"/>
      <c r="N58" s="84" t="str">
        <f t="shared" si="9"/>
        <v>Reorder</v>
      </c>
    </row>
    <row r="59" spans="1:14" ht="30" customHeight="1" x14ac:dyDescent="0.35">
      <c r="A59" s="115"/>
      <c r="B59" s="108">
        <v>200070</v>
      </c>
      <c r="C59" s="93" t="s">
        <v>83</v>
      </c>
      <c r="D59" s="94" t="s">
        <v>11</v>
      </c>
      <c r="E59" s="94"/>
      <c r="F59" s="95">
        <f>SUMIF(ComputerStoreUnitsTable[Item Description],'STOCK CONTROL SHEET'!C59,ComputerStoreUnitsTable[Running Balance])</f>
        <v>0</v>
      </c>
      <c r="G59" s="94">
        <f>IF(SUM(E59,F59)&lt;0,"",SUM(E59,F59))</f>
        <v>0</v>
      </c>
      <c r="H59" s="94">
        <v>14</v>
      </c>
      <c r="I59" s="92">
        <f t="shared" si="6"/>
        <v>14</v>
      </c>
      <c r="J59" s="94" t="str">
        <f t="shared" si="7"/>
        <v/>
      </c>
      <c r="K59" s="94">
        <f t="shared" si="8"/>
        <v>14</v>
      </c>
      <c r="L59" s="94">
        <v>30</v>
      </c>
      <c r="M59" s="94">
        <v>8</v>
      </c>
      <c r="N59" s="84" t="str">
        <f t="shared" si="9"/>
        <v>Available</v>
      </c>
    </row>
    <row r="60" spans="1:14" ht="30" customHeight="1" x14ac:dyDescent="0.35">
      <c r="A60" s="115"/>
      <c r="B60" s="107">
        <v>200066</v>
      </c>
      <c r="C60" s="90" t="s">
        <v>84</v>
      </c>
      <c r="D60" s="91" t="s">
        <v>11</v>
      </c>
      <c r="E60" s="91"/>
      <c r="F60" s="91">
        <f>SUMIF(ComputerStoreUnitsTable[Item Description],'STOCK CONTROL SHEET'!C60,ComputerStoreUnitsTable[Running Balance])</f>
        <v>0</v>
      </c>
      <c r="G60" s="91">
        <f>IF(SUM(E60,F60)&lt;0,"",SUM(E60,F60))</f>
        <v>0</v>
      </c>
      <c r="H60" s="91"/>
      <c r="I60" s="92">
        <f t="shared" si="6"/>
        <v>0</v>
      </c>
      <c r="J60" s="91" t="str">
        <f t="shared" si="7"/>
        <v/>
      </c>
      <c r="K60" s="91" t="str">
        <f t="shared" si="8"/>
        <v/>
      </c>
      <c r="L60" s="91">
        <v>6</v>
      </c>
      <c r="M60" s="91">
        <v>1</v>
      </c>
      <c r="N60" s="84" t="str">
        <f t="shared" si="9"/>
        <v>Reorder</v>
      </c>
    </row>
    <row r="61" spans="1:14" ht="30" customHeight="1" x14ac:dyDescent="0.35">
      <c r="A61" s="115"/>
      <c r="B61" s="108"/>
      <c r="C61" s="93" t="s">
        <v>243</v>
      </c>
      <c r="D61" s="94" t="s">
        <v>11</v>
      </c>
      <c r="E61" s="94"/>
      <c r="F61" s="95">
        <f>SUMIF(ComputerStoreUnitsTable[Item Description],'STOCK CONTROL SHEET'!C61,ComputerStoreUnitsTable[Running Balance])</f>
        <v>0</v>
      </c>
      <c r="G61" s="94">
        <f>SUM(E61,F61)</f>
        <v>0</v>
      </c>
      <c r="H61" s="94">
        <v>3</v>
      </c>
      <c r="I61" s="92">
        <f t="shared" si="6"/>
        <v>3</v>
      </c>
      <c r="J61" s="94" t="str">
        <f t="shared" si="7"/>
        <v/>
      </c>
      <c r="K61" s="94">
        <f t="shared" si="8"/>
        <v>3</v>
      </c>
      <c r="L61" s="94"/>
      <c r="M61" s="94"/>
      <c r="N61" s="84" t="str">
        <f t="shared" si="9"/>
        <v>Available</v>
      </c>
    </row>
    <row r="62" spans="1:14" ht="30" customHeight="1" x14ac:dyDescent="0.35">
      <c r="A62" s="115"/>
      <c r="B62" s="107">
        <v>200007</v>
      </c>
      <c r="C62" s="90" t="s">
        <v>153</v>
      </c>
      <c r="D62" s="91" t="s">
        <v>11</v>
      </c>
      <c r="E62" s="91"/>
      <c r="F62" s="91">
        <f>SUMIF(ComputerStoreUnitsTable[Item Description],'STOCK CONTROL SHEET'!C62,ComputerStoreUnitsTable[Running Balance])</f>
        <v>0</v>
      </c>
      <c r="G62" s="91">
        <f t="shared" ref="G62:G71" si="10">IF(SUM(E62,F62)&lt;0,"",SUM(E62,F62))</f>
        <v>0</v>
      </c>
      <c r="H62" s="91"/>
      <c r="I62" s="92">
        <f t="shared" si="6"/>
        <v>0</v>
      </c>
      <c r="J62" s="91" t="str">
        <f t="shared" si="7"/>
        <v/>
      </c>
      <c r="K62" s="91" t="str">
        <f t="shared" si="8"/>
        <v/>
      </c>
      <c r="L62" s="91"/>
      <c r="M62" s="91"/>
      <c r="N62" s="84" t="str">
        <f t="shared" si="9"/>
        <v>Reorder</v>
      </c>
    </row>
    <row r="63" spans="1:14" ht="30" customHeight="1" x14ac:dyDescent="0.35">
      <c r="A63" s="115"/>
      <c r="B63" s="108">
        <v>200076</v>
      </c>
      <c r="C63" s="93" t="s">
        <v>85</v>
      </c>
      <c r="D63" s="94" t="s">
        <v>11</v>
      </c>
      <c r="E63" s="94"/>
      <c r="F63" s="95">
        <f>SUMIF(ComputerStoreUnitsTable[Item Description],'STOCK CONTROL SHEET'!C63,ComputerStoreUnitsTable[Running Balance])</f>
        <v>0</v>
      </c>
      <c r="G63" s="94">
        <f t="shared" si="10"/>
        <v>0</v>
      </c>
      <c r="H63" s="94"/>
      <c r="I63" s="92">
        <f t="shared" si="6"/>
        <v>0</v>
      </c>
      <c r="J63" s="94" t="str">
        <f t="shared" si="7"/>
        <v/>
      </c>
      <c r="K63" s="94" t="str">
        <f t="shared" si="8"/>
        <v/>
      </c>
      <c r="L63" s="94">
        <v>12</v>
      </c>
      <c r="M63" s="94">
        <v>2</v>
      </c>
      <c r="N63" s="84" t="str">
        <f t="shared" si="9"/>
        <v>Reorder</v>
      </c>
    </row>
    <row r="64" spans="1:14" ht="30" customHeight="1" x14ac:dyDescent="0.35">
      <c r="A64" s="115"/>
      <c r="B64" s="107">
        <v>200072</v>
      </c>
      <c r="C64" s="90" t="s">
        <v>86</v>
      </c>
      <c r="D64" s="91" t="s">
        <v>11</v>
      </c>
      <c r="E64" s="91"/>
      <c r="F64" s="91">
        <f>SUMIF(ComputerStoreUnitsTable[Item Description],'STOCK CONTROL SHEET'!C64,ComputerStoreUnitsTable[Running Balance])</f>
        <v>0</v>
      </c>
      <c r="G64" s="91">
        <f t="shared" si="10"/>
        <v>0</v>
      </c>
      <c r="H64" s="91"/>
      <c r="I64" s="92">
        <f t="shared" si="6"/>
        <v>0</v>
      </c>
      <c r="J64" s="91" t="str">
        <f t="shared" si="7"/>
        <v/>
      </c>
      <c r="K64" s="91" t="str">
        <f t="shared" si="8"/>
        <v/>
      </c>
      <c r="L64" s="91">
        <v>4</v>
      </c>
      <c r="M64" s="91">
        <v>1</v>
      </c>
      <c r="N64" s="84" t="str">
        <f t="shared" si="9"/>
        <v>Reorder</v>
      </c>
    </row>
    <row r="65" spans="1:14" ht="30" customHeight="1" x14ac:dyDescent="0.35">
      <c r="A65" s="115"/>
      <c r="B65" s="108">
        <v>200059</v>
      </c>
      <c r="C65" s="93" t="s">
        <v>90</v>
      </c>
      <c r="D65" s="94" t="s">
        <v>11</v>
      </c>
      <c r="E65" s="94">
        <v>4</v>
      </c>
      <c r="F65" s="95">
        <f>SUMIF(ComputerStoreUnitsTable[Item Description],'STOCK CONTROL SHEET'!C65,ComputerStoreUnitsTable[Running Balance])</f>
        <v>0</v>
      </c>
      <c r="G65" s="94">
        <f t="shared" si="10"/>
        <v>4</v>
      </c>
      <c r="H65" s="94">
        <v>4</v>
      </c>
      <c r="I65" s="92">
        <f t="shared" si="6"/>
        <v>4</v>
      </c>
      <c r="J65" s="94" t="str">
        <f t="shared" si="7"/>
        <v/>
      </c>
      <c r="K65" s="94" t="str">
        <f t="shared" si="8"/>
        <v/>
      </c>
      <c r="L65" s="94">
        <v>6</v>
      </c>
      <c r="M65" s="94">
        <v>2</v>
      </c>
      <c r="N65" s="84" t="str">
        <f t="shared" si="9"/>
        <v>Available</v>
      </c>
    </row>
    <row r="66" spans="1:14" ht="30" customHeight="1" x14ac:dyDescent="0.35">
      <c r="A66" s="115"/>
      <c r="B66" s="107">
        <v>200056</v>
      </c>
      <c r="C66" s="90" t="s">
        <v>91</v>
      </c>
      <c r="D66" s="91" t="s">
        <v>11</v>
      </c>
      <c r="E66" s="91">
        <v>7</v>
      </c>
      <c r="F66" s="91">
        <f>SUMIF(ComputerStoreUnitsTable[Item Description],'STOCK CONTROL SHEET'!C66,ComputerStoreUnitsTable[Running Balance])</f>
        <v>0</v>
      </c>
      <c r="G66" s="91">
        <f t="shared" si="10"/>
        <v>7</v>
      </c>
      <c r="H66" s="91">
        <v>7</v>
      </c>
      <c r="I66" s="92">
        <f t="shared" si="6"/>
        <v>7</v>
      </c>
      <c r="J66" s="91" t="str">
        <f t="shared" si="7"/>
        <v/>
      </c>
      <c r="K66" s="91" t="str">
        <f t="shared" si="8"/>
        <v/>
      </c>
      <c r="L66" s="91">
        <v>6</v>
      </c>
      <c r="M66" s="91">
        <v>2</v>
      </c>
      <c r="N66" s="84" t="str">
        <f t="shared" si="9"/>
        <v>Available</v>
      </c>
    </row>
    <row r="67" spans="1:14" ht="30" customHeight="1" x14ac:dyDescent="0.35">
      <c r="A67" s="115"/>
      <c r="B67" s="108">
        <v>200065</v>
      </c>
      <c r="C67" s="93" t="s">
        <v>89</v>
      </c>
      <c r="D67" s="94" t="s">
        <v>11</v>
      </c>
      <c r="E67" s="94"/>
      <c r="F67" s="95">
        <f>SUMIF(ComputerStoreUnitsTable[Item Description],'STOCK CONTROL SHEET'!C67,ComputerStoreUnitsTable[Running Balance])</f>
        <v>0</v>
      </c>
      <c r="G67" s="94">
        <f t="shared" si="10"/>
        <v>0</v>
      </c>
      <c r="H67" s="94"/>
      <c r="I67" s="92">
        <f t="shared" si="6"/>
        <v>0</v>
      </c>
      <c r="J67" s="94" t="str">
        <f t="shared" si="7"/>
        <v/>
      </c>
      <c r="K67" s="94" t="str">
        <f t="shared" si="8"/>
        <v/>
      </c>
      <c r="L67" s="94">
        <v>4</v>
      </c>
      <c r="M67" s="94">
        <v>1</v>
      </c>
      <c r="N67" s="84" t="str">
        <f t="shared" si="9"/>
        <v>Reorder</v>
      </c>
    </row>
    <row r="68" spans="1:14" ht="30" customHeight="1" x14ac:dyDescent="0.35">
      <c r="A68" s="115"/>
      <c r="B68" s="107">
        <v>200075</v>
      </c>
      <c r="C68" s="90" t="s">
        <v>87</v>
      </c>
      <c r="D68" s="91" t="s">
        <v>11</v>
      </c>
      <c r="E68" s="91"/>
      <c r="F68" s="91">
        <f>SUMIF(ComputerStoreUnitsTable[Item Description],'STOCK CONTROL SHEET'!C68,ComputerStoreUnitsTable[Running Balance])</f>
        <v>0</v>
      </c>
      <c r="G68" s="91">
        <f t="shared" si="10"/>
        <v>0</v>
      </c>
      <c r="H68" s="91"/>
      <c r="I68" s="92">
        <f t="shared" si="6"/>
        <v>0</v>
      </c>
      <c r="J68" s="91" t="str">
        <f t="shared" si="7"/>
        <v/>
      </c>
      <c r="K68" s="91" t="str">
        <f t="shared" si="8"/>
        <v/>
      </c>
      <c r="L68" s="91">
        <v>6</v>
      </c>
      <c r="M68" s="91">
        <v>3</v>
      </c>
      <c r="N68" s="84" t="str">
        <f t="shared" si="9"/>
        <v>Reorder</v>
      </c>
    </row>
    <row r="69" spans="1:14" ht="30" customHeight="1" x14ac:dyDescent="0.35">
      <c r="A69" s="115"/>
      <c r="B69" s="108">
        <v>200073</v>
      </c>
      <c r="C69" s="93" t="s">
        <v>88</v>
      </c>
      <c r="D69" s="94" t="s">
        <v>11</v>
      </c>
      <c r="E69" s="94">
        <v>4</v>
      </c>
      <c r="F69" s="95">
        <f>SUMIF(ComputerStoreUnitsTable[Item Description],'STOCK CONTROL SHEET'!C69,ComputerStoreUnitsTable[Running Balance])</f>
        <v>0</v>
      </c>
      <c r="G69" s="94">
        <f t="shared" si="10"/>
        <v>4</v>
      </c>
      <c r="H69" s="94">
        <v>5</v>
      </c>
      <c r="I69" s="92">
        <f t="shared" si="6"/>
        <v>5</v>
      </c>
      <c r="J69" s="94" t="str">
        <f t="shared" si="7"/>
        <v/>
      </c>
      <c r="K69" s="94">
        <f t="shared" si="8"/>
        <v>1</v>
      </c>
      <c r="L69" s="94">
        <v>4</v>
      </c>
      <c r="M69" s="94">
        <v>2</v>
      </c>
      <c r="N69" s="84" t="str">
        <f t="shared" si="9"/>
        <v>Available</v>
      </c>
    </row>
    <row r="70" spans="1:14" ht="30" customHeight="1" x14ac:dyDescent="0.35">
      <c r="A70" s="115"/>
      <c r="B70" s="107">
        <v>200064</v>
      </c>
      <c r="C70" s="90" t="s">
        <v>92</v>
      </c>
      <c r="D70" s="91" t="s">
        <v>11</v>
      </c>
      <c r="E70" s="91"/>
      <c r="F70" s="91">
        <f>SUMIF(ComputerStoreUnitsTable[Item Description],'STOCK CONTROL SHEET'!C70,ComputerStoreUnitsTable[Running Balance])</f>
        <v>0</v>
      </c>
      <c r="G70" s="91">
        <f t="shared" si="10"/>
        <v>0</v>
      </c>
      <c r="H70" s="91"/>
      <c r="I70" s="92">
        <f t="shared" si="6"/>
        <v>0</v>
      </c>
      <c r="J70" s="91" t="str">
        <f t="shared" si="7"/>
        <v/>
      </c>
      <c r="K70" s="91" t="str">
        <f t="shared" si="8"/>
        <v/>
      </c>
      <c r="L70" s="91">
        <v>6</v>
      </c>
      <c r="M70" s="91">
        <v>1</v>
      </c>
      <c r="N70" s="84" t="str">
        <f t="shared" si="9"/>
        <v>Reorder</v>
      </c>
    </row>
    <row r="71" spans="1:14" ht="30" customHeight="1" x14ac:dyDescent="0.35">
      <c r="A71" s="115"/>
      <c r="B71" s="108">
        <v>200063</v>
      </c>
      <c r="C71" s="93" t="s">
        <v>93</v>
      </c>
      <c r="D71" s="94" t="s">
        <v>11</v>
      </c>
      <c r="E71" s="94"/>
      <c r="F71" s="95">
        <f>SUMIF(ComputerStoreUnitsTable[Item Description],'STOCK CONTROL SHEET'!C71,ComputerStoreUnitsTable[Running Balance])</f>
        <v>0</v>
      </c>
      <c r="G71" s="94">
        <f t="shared" si="10"/>
        <v>0</v>
      </c>
      <c r="H71" s="94"/>
      <c r="I71" s="92">
        <f t="shared" ref="I71:I102" si="11">IF(SUM(H71,F71)&lt;0,"",SUM(H71,F71))</f>
        <v>0</v>
      </c>
      <c r="J71" s="94" t="str">
        <f t="shared" ref="J71:J102" si="12">IF(G71-I71&lt;=0,"",G71-I71)</f>
        <v/>
      </c>
      <c r="K71" s="94" t="str">
        <f t="shared" ref="K71:K102" si="13">IF(I71-G71&lt;=0,"",I71-G71)</f>
        <v/>
      </c>
      <c r="L71" s="94">
        <v>6</v>
      </c>
      <c r="M71" s="94">
        <v>1</v>
      </c>
      <c r="N71" s="84" t="str">
        <f t="shared" si="9"/>
        <v>Reorder</v>
      </c>
    </row>
    <row r="72" spans="1:14" ht="30" customHeight="1" x14ac:dyDescent="0.35">
      <c r="A72" s="115"/>
      <c r="B72" s="107"/>
      <c r="C72" s="90" t="s">
        <v>244</v>
      </c>
      <c r="D72" s="91" t="s">
        <v>11</v>
      </c>
      <c r="E72" s="91"/>
      <c r="F72" s="91">
        <f>SUMIF(ComputerStoreUnitsTable[Item Description],'STOCK CONTROL SHEET'!C72,ComputerStoreUnitsTable[Running Balance])</f>
        <v>0</v>
      </c>
      <c r="G72" s="91">
        <f>SUM(E72,F72)</f>
        <v>0</v>
      </c>
      <c r="H72" s="91">
        <v>3</v>
      </c>
      <c r="I72" s="92">
        <f t="shared" si="11"/>
        <v>3</v>
      </c>
      <c r="J72" s="91" t="str">
        <f t="shared" si="12"/>
        <v/>
      </c>
      <c r="K72" s="91">
        <f t="shared" si="13"/>
        <v>3</v>
      </c>
      <c r="L72" s="91"/>
      <c r="M72" s="91"/>
      <c r="N72" s="84" t="str">
        <f t="shared" si="9"/>
        <v>Available</v>
      </c>
    </row>
    <row r="73" spans="1:14" ht="30" customHeight="1" x14ac:dyDescent="0.35">
      <c r="A73" s="115"/>
      <c r="B73" s="108">
        <v>200009</v>
      </c>
      <c r="C73" s="93" t="s">
        <v>151</v>
      </c>
      <c r="D73" s="94" t="s">
        <v>11</v>
      </c>
      <c r="E73" s="94"/>
      <c r="F73" s="95">
        <f>SUMIF(ComputerStoreUnitsTable[Item Description],'STOCK CONTROL SHEET'!C73,ComputerStoreUnitsTable[Running Balance])</f>
        <v>0</v>
      </c>
      <c r="G73" s="94">
        <f>IF(SUM(E73,F73)&lt;0,"",SUM(E73,F73))</f>
        <v>0</v>
      </c>
      <c r="H73" s="94"/>
      <c r="I73" s="92">
        <f t="shared" si="11"/>
        <v>0</v>
      </c>
      <c r="J73" s="94" t="str">
        <f t="shared" si="12"/>
        <v/>
      </c>
      <c r="K73" s="94" t="str">
        <f t="shared" si="13"/>
        <v/>
      </c>
      <c r="L73" s="94"/>
      <c r="M73" s="94"/>
      <c r="N73" s="84" t="str">
        <f t="shared" si="9"/>
        <v>Reorder</v>
      </c>
    </row>
    <row r="74" spans="1:14" ht="30" customHeight="1" x14ac:dyDescent="0.35">
      <c r="A74" s="115"/>
      <c r="B74" s="107"/>
      <c r="C74" s="90" t="s">
        <v>245</v>
      </c>
      <c r="D74" s="91" t="s">
        <v>11</v>
      </c>
      <c r="E74" s="91"/>
      <c r="F74" s="91">
        <f>SUMIF(ComputerStoreUnitsTable[Item Description],'STOCK CONTROL SHEET'!C74,ComputerStoreUnitsTable[Running Balance])</f>
        <v>0</v>
      </c>
      <c r="G74" s="91">
        <f>SUM(E74,F74)</f>
        <v>0</v>
      </c>
      <c r="H74" s="91">
        <v>4</v>
      </c>
      <c r="I74" s="92">
        <f t="shared" si="11"/>
        <v>4</v>
      </c>
      <c r="J74" s="91" t="str">
        <f t="shared" si="12"/>
        <v/>
      </c>
      <c r="K74" s="91">
        <f t="shared" si="13"/>
        <v>4</v>
      </c>
      <c r="L74" s="91"/>
      <c r="M74" s="91"/>
      <c r="N74" s="84" t="str">
        <f t="shared" si="9"/>
        <v>Available</v>
      </c>
    </row>
    <row r="75" spans="1:14" ht="30" customHeight="1" x14ac:dyDescent="0.35">
      <c r="A75" s="115"/>
      <c r="B75" s="108">
        <v>200010</v>
      </c>
      <c r="C75" s="93" t="s">
        <v>152</v>
      </c>
      <c r="D75" s="94" t="s">
        <v>11</v>
      </c>
      <c r="E75" s="94"/>
      <c r="F75" s="95">
        <f>SUMIF(ComputerStoreUnitsTable[Item Description],'STOCK CONTROL SHEET'!C75,ComputerStoreUnitsTable[Running Balance])</f>
        <v>0</v>
      </c>
      <c r="G75" s="94">
        <f t="shared" ref="G75:G81" si="14">IF(SUM(E75,F75)&lt;0,"",SUM(E75,F75))</f>
        <v>0</v>
      </c>
      <c r="H75" s="94">
        <v>8</v>
      </c>
      <c r="I75" s="92">
        <f t="shared" si="11"/>
        <v>8</v>
      </c>
      <c r="J75" s="94" t="str">
        <f t="shared" si="12"/>
        <v/>
      </c>
      <c r="K75" s="94">
        <f t="shared" si="13"/>
        <v>8</v>
      </c>
      <c r="L75" s="94"/>
      <c r="M75" s="94"/>
      <c r="N75" s="84" t="str">
        <f t="shared" si="9"/>
        <v>Available</v>
      </c>
    </row>
    <row r="76" spans="1:14" ht="30" customHeight="1" x14ac:dyDescent="0.35">
      <c r="A76" s="115"/>
      <c r="B76" s="107">
        <v>200000</v>
      </c>
      <c r="C76" s="90" t="s">
        <v>154</v>
      </c>
      <c r="D76" s="91" t="s">
        <v>11</v>
      </c>
      <c r="E76" s="91"/>
      <c r="F76" s="91">
        <f>SUMIF(ComputerStoreUnitsTable[Item Description],'STOCK CONTROL SHEET'!C76,ComputerStoreUnitsTable[Running Balance])</f>
        <v>0</v>
      </c>
      <c r="G76" s="91">
        <f t="shared" si="14"/>
        <v>0</v>
      </c>
      <c r="H76" s="91"/>
      <c r="I76" s="92">
        <f t="shared" si="11"/>
        <v>0</v>
      </c>
      <c r="J76" s="91" t="str">
        <f t="shared" si="12"/>
        <v/>
      </c>
      <c r="K76" s="91" t="str">
        <f t="shared" si="13"/>
        <v/>
      </c>
      <c r="L76" s="91"/>
      <c r="M76" s="91"/>
      <c r="N76" s="84" t="str">
        <f t="shared" si="9"/>
        <v>Reorder</v>
      </c>
    </row>
    <row r="77" spans="1:14" ht="30" customHeight="1" x14ac:dyDescent="0.35">
      <c r="A77" s="115"/>
      <c r="B77" s="108">
        <v>200079</v>
      </c>
      <c r="C77" s="93" t="s">
        <v>94</v>
      </c>
      <c r="D77" s="94" t="s">
        <v>11</v>
      </c>
      <c r="E77" s="94"/>
      <c r="F77" s="95">
        <f>SUMIF(ComputerStoreUnitsTable[Item Description],'STOCK CONTROL SHEET'!C77,ComputerStoreUnitsTable[Running Balance])</f>
        <v>0</v>
      </c>
      <c r="G77" s="94">
        <f t="shared" si="14"/>
        <v>0</v>
      </c>
      <c r="H77" s="94"/>
      <c r="I77" s="92">
        <f t="shared" si="11"/>
        <v>0</v>
      </c>
      <c r="J77" s="94" t="str">
        <f t="shared" si="12"/>
        <v/>
      </c>
      <c r="K77" s="94" t="str">
        <f t="shared" si="13"/>
        <v/>
      </c>
      <c r="L77" s="94">
        <v>12</v>
      </c>
      <c r="M77" s="94">
        <v>2</v>
      </c>
      <c r="N77" s="84" t="str">
        <f t="shared" si="9"/>
        <v>Reorder</v>
      </c>
    </row>
    <row r="78" spans="1:14" ht="30" customHeight="1" x14ac:dyDescent="0.35">
      <c r="A78" s="115"/>
      <c r="B78" s="107">
        <v>200008</v>
      </c>
      <c r="C78" s="90" t="s">
        <v>155</v>
      </c>
      <c r="D78" s="91" t="s">
        <v>11</v>
      </c>
      <c r="E78" s="91"/>
      <c r="F78" s="91">
        <f>SUMIF(ComputerStoreUnitsTable[Item Description],'STOCK CONTROL SHEET'!C78,ComputerStoreUnitsTable[Running Balance])</f>
        <v>0</v>
      </c>
      <c r="G78" s="91">
        <f t="shared" si="14"/>
        <v>0</v>
      </c>
      <c r="H78" s="91">
        <v>1</v>
      </c>
      <c r="I78" s="92">
        <f t="shared" si="11"/>
        <v>1</v>
      </c>
      <c r="J78" s="91" t="str">
        <f t="shared" si="12"/>
        <v/>
      </c>
      <c r="K78" s="91">
        <f t="shared" si="13"/>
        <v>1</v>
      </c>
      <c r="L78" s="91"/>
      <c r="M78" s="91"/>
      <c r="N78" s="84" t="str">
        <f t="shared" si="9"/>
        <v>Available</v>
      </c>
    </row>
    <row r="79" spans="1:14" ht="30" customHeight="1" x14ac:dyDescent="0.35">
      <c r="A79" s="115"/>
      <c r="B79" s="108">
        <v>200017</v>
      </c>
      <c r="C79" s="93" t="s">
        <v>156</v>
      </c>
      <c r="D79" s="94" t="s">
        <v>11</v>
      </c>
      <c r="E79" s="94"/>
      <c r="F79" s="95">
        <f>SUMIF(ComputerStoreUnitsTable[Item Description],'STOCK CONTROL SHEET'!C79,ComputerStoreUnitsTable[Running Balance])</f>
        <v>0</v>
      </c>
      <c r="G79" s="94">
        <f t="shared" si="14"/>
        <v>0</v>
      </c>
      <c r="H79" s="94">
        <v>3</v>
      </c>
      <c r="I79" s="92">
        <f t="shared" si="11"/>
        <v>3</v>
      </c>
      <c r="J79" s="94" t="str">
        <f t="shared" si="12"/>
        <v/>
      </c>
      <c r="K79" s="94">
        <f t="shared" si="13"/>
        <v>3</v>
      </c>
      <c r="L79" s="94"/>
      <c r="M79" s="94"/>
      <c r="N79" s="84" t="str">
        <f t="shared" si="9"/>
        <v>Available</v>
      </c>
    </row>
    <row r="80" spans="1:14" ht="30" customHeight="1" x14ac:dyDescent="0.35">
      <c r="A80" s="115"/>
      <c r="B80" s="107">
        <v>200028</v>
      </c>
      <c r="C80" s="90" t="s">
        <v>157</v>
      </c>
      <c r="D80" s="91" t="s">
        <v>11</v>
      </c>
      <c r="E80" s="91"/>
      <c r="F80" s="91">
        <f>SUMIF(ComputerStoreUnitsTable[Item Description],'STOCK CONTROL SHEET'!C80,ComputerStoreUnitsTable[Running Balance])</f>
        <v>0</v>
      </c>
      <c r="G80" s="91">
        <f t="shared" si="14"/>
        <v>0</v>
      </c>
      <c r="H80" s="91">
        <v>2</v>
      </c>
      <c r="I80" s="92">
        <f t="shared" si="11"/>
        <v>2</v>
      </c>
      <c r="J80" s="91" t="str">
        <f t="shared" si="12"/>
        <v/>
      </c>
      <c r="K80" s="91">
        <f t="shared" si="13"/>
        <v>2</v>
      </c>
      <c r="L80" s="91"/>
      <c r="M80" s="91"/>
      <c r="N80" s="84" t="str">
        <f t="shared" si="9"/>
        <v>Available</v>
      </c>
    </row>
    <row r="81" spans="1:14" ht="30" customHeight="1" x14ac:dyDescent="0.35">
      <c r="A81" s="115"/>
      <c r="B81" s="108">
        <v>200029</v>
      </c>
      <c r="C81" s="93" t="s">
        <v>158</v>
      </c>
      <c r="D81" s="94" t="s">
        <v>11</v>
      </c>
      <c r="E81" s="94"/>
      <c r="F81" s="95">
        <f>SUMIF(ComputerStoreUnitsTable[Item Description],'STOCK CONTROL SHEET'!C81,ComputerStoreUnitsTable[Running Balance])</f>
        <v>0</v>
      </c>
      <c r="G81" s="94">
        <f t="shared" si="14"/>
        <v>0</v>
      </c>
      <c r="H81" s="94">
        <v>4</v>
      </c>
      <c r="I81" s="92">
        <f t="shared" si="11"/>
        <v>4</v>
      </c>
      <c r="J81" s="94" t="str">
        <f t="shared" si="12"/>
        <v/>
      </c>
      <c r="K81" s="94">
        <f t="shared" si="13"/>
        <v>4</v>
      </c>
      <c r="L81" s="94"/>
      <c r="M81" s="94"/>
      <c r="N81" s="84" t="str">
        <f t="shared" si="9"/>
        <v>Available</v>
      </c>
    </row>
    <row r="82" spans="1:14" ht="30" customHeight="1" x14ac:dyDescent="0.35">
      <c r="A82" s="115"/>
      <c r="B82" s="107"/>
      <c r="C82" s="90" t="s">
        <v>242</v>
      </c>
      <c r="D82" s="91" t="s">
        <v>11</v>
      </c>
      <c r="E82" s="91">
        <v>0</v>
      </c>
      <c r="F82" s="91">
        <f>SUMIF(ComputerStoreUnitsTable[Item Description],'STOCK CONTROL SHEET'!C82,ComputerStoreUnitsTable[Running Balance])</f>
        <v>0</v>
      </c>
      <c r="G82" s="91">
        <f>SUM(E82,F82)</f>
        <v>0</v>
      </c>
      <c r="H82" s="91">
        <v>3</v>
      </c>
      <c r="I82" s="92">
        <f t="shared" si="11"/>
        <v>3</v>
      </c>
      <c r="J82" s="91" t="str">
        <f t="shared" si="12"/>
        <v/>
      </c>
      <c r="K82" s="91">
        <f t="shared" si="13"/>
        <v>3</v>
      </c>
      <c r="L82" s="91"/>
      <c r="M82" s="91"/>
      <c r="N82" s="84" t="str">
        <f t="shared" si="9"/>
        <v>Available</v>
      </c>
    </row>
    <row r="83" spans="1:14" ht="30" customHeight="1" x14ac:dyDescent="0.35">
      <c r="A83" s="115"/>
      <c r="B83" s="108">
        <v>38</v>
      </c>
      <c r="C83" s="93" t="s">
        <v>213</v>
      </c>
      <c r="D83" s="94" t="s">
        <v>16</v>
      </c>
      <c r="E83" s="94"/>
      <c r="F83" s="95">
        <f>SUMIF(ComputerStoreUnitsTable[Item Description],'STOCK CONTROL SHEET'!C83,ComputerStoreUnitsTable[Running Balance])</f>
        <v>0</v>
      </c>
      <c r="G83" s="94">
        <f>IF(SUM(E83,F83)&lt;0,"",SUM(E83,F83))</f>
        <v>0</v>
      </c>
      <c r="H83" s="94"/>
      <c r="I83" s="92">
        <f t="shared" si="11"/>
        <v>0</v>
      </c>
      <c r="J83" s="94" t="str">
        <f t="shared" si="12"/>
        <v/>
      </c>
      <c r="K83" s="94" t="str">
        <f t="shared" si="13"/>
        <v/>
      </c>
      <c r="L83" s="94">
        <v>5</v>
      </c>
      <c r="M83" s="94">
        <v>2</v>
      </c>
      <c r="N83" s="84" t="str">
        <f t="shared" si="9"/>
        <v>Reorder</v>
      </c>
    </row>
    <row r="84" spans="1:14" ht="30" customHeight="1" x14ac:dyDescent="0.35">
      <c r="A84" s="115"/>
      <c r="B84" s="107">
        <v>200001</v>
      </c>
      <c r="C84" s="90" t="s">
        <v>159</v>
      </c>
      <c r="D84" s="91" t="s">
        <v>11</v>
      </c>
      <c r="E84" s="91"/>
      <c r="F84" s="91">
        <f>SUMIF(ComputerStoreUnitsTable[Item Description],'STOCK CONTROL SHEET'!C84,ComputerStoreUnitsTable[Running Balance])</f>
        <v>0</v>
      </c>
      <c r="G84" s="91">
        <f>IF(SUM(E84,F84)&lt;0,"",SUM(E84,F84))</f>
        <v>0</v>
      </c>
      <c r="H84" s="91">
        <v>4</v>
      </c>
      <c r="I84" s="92">
        <f t="shared" si="11"/>
        <v>4</v>
      </c>
      <c r="J84" s="91" t="str">
        <f t="shared" si="12"/>
        <v/>
      </c>
      <c r="K84" s="91">
        <f t="shared" si="13"/>
        <v>4</v>
      </c>
      <c r="L84" s="91"/>
      <c r="M84" s="91"/>
      <c r="N84" s="84" t="str">
        <f t="shared" si="9"/>
        <v>Available</v>
      </c>
    </row>
    <row r="85" spans="1:14" ht="30" customHeight="1" x14ac:dyDescent="0.35">
      <c r="A85" s="115"/>
      <c r="B85" s="108">
        <v>200091</v>
      </c>
      <c r="C85" s="93" t="s">
        <v>160</v>
      </c>
      <c r="D85" s="94" t="s">
        <v>11</v>
      </c>
      <c r="E85" s="94">
        <v>16</v>
      </c>
      <c r="F85" s="95">
        <f>SUMIF(ComputerStoreUnitsTable[Item Description],'STOCK CONTROL SHEET'!C85,ComputerStoreUnitsTable[Running Balance])</f>
        <v>0</v>
      </c>
      <c r="G85" s="94">
        <f>IF(SUM(E85,F85)&lt;0,"",SUM(E85,F85))</f>
        <v>16</v>
      </c>
      <c r="H85" s="94">
        <v>15</v>
      </c>
      <c r="I85" s="92">
        <f t="shared" si="11"/>
        <v>15</v>
      </c>
      <c r="J85" s="94">
        <f t="shared" si="12"/>
        <v>1</v>
      </c>
      <c r="K85" s="94" t="str">
        <f t="shared" si="13"/>
        <v/>
      </c>
      <c r="L85" s="94"/>
      <c r="M85" s="94"/>
      <c r="N85" s="84" t="str">
        <f t="shared" si="9"/>
        <v>Available</v>
      </c>
    </row>
    <row r="86" spans="1:14" ht="30" customHeight="1" x14ac:dyDescent="0.35">
      <c r="A86" s="115"/>
      <c r="B86" s="107">
        <v>100170</v>
      </c>
      <c r="C86" s="90" t="s">
        <v>150</v>
      </c>
      <c r="D86" s="91" t="s">
        <v>11</v>
      </c>
      <c r="E86" s="91">
        <v>16000</v>
      </c>
      <c r="F86" s="91">
        <f>SUMIF(ComputerStoreUnitsTable[Item Description],'STOCK CONTROL SHEET'!C86,ComputerStoreUnitsTable[Running Balance])</f>
        <v>0</v>
      </c>
      <c r="G86" s="91">
        <f>IF(SUM(E86,F86)&lt;0,"",SUM(E86,F86))</f>
        <v>16000</v>
      </c>
      <c r="H86" s="91">
        <v>26000</v>
      </c>
      <c r="I86" s="92">
        <f t="shared" si="11"/>
        <v>26000</v>
      </c>
      <c r="J86" s="91" t="str">
        <f t="shared" si="12"/>
        <v/>
      </c>
      <c r="K86" s="91">
        <f t="shared" si="13"/>
        <v>10000</v>
      </c>
      <c r="L86" s="91">
        <v>36000</v>
      </c>
      <c r="M86" s="91">
        <v>9000</v>
      </c>
      <c r="N86" s="84" t="str">
        <f t="shared" si="9"/>
        <v>Available</v>
      </c>
    </row>
    <row r="87" spans="1:14" ht="30" customHeight="1" x14ac:dyDescent="0.35">
      <c r="A87" s="115"/>
      <c r="B87" s="108">
        <v>200100</v>
      </c>
      <c r="C87" s="93" t="s">
        <v>231</v>
      </c>
      <c r="D87" s="94" t="s">
        <v>11</v>
      </c>
      <c r="E87" s="94">
        <v>8</v>
      </c>
      <c r="F87" s="95">
        <f>SUMIF(ComputerStoreUnitsTable[Item Description],'STOCK CONTROL SHEET'!C87,ComputerStoreUnitsTable[Running Balance])</f>
        <v>0</v>
      </c>
      <c r="G87" s="94">
        <f>SUM(E87,F87)</f>
        <v>8</v>
      </c>
      <c r="H87" s="94">
        <v>4</v>
      </c>
      <c r="I87" s="92">
        <f t="shared" si="11"/>
        <v>4</v>
      </c>
      <c r="J87" s="94">
        <f t="shared" si="12"/>
        <v>4</v>
      </c>
      <c r="K87" s="94" t="str">
        <f t="shared" si="13"/>
        <v/>
      </c>
      <c r="L87" s="94"/>
      <c r="M87" s="94"/>
      <c r="N87" s="84" t="str">
        <f t="shared" si="9"/>
        <v>Available</v>
      </c>
    </row>
    <row r="88" spans="1:14" ht="30" customHeight="1" x14ac:dyDescent="0.35">
      <c r="A88" s="115"/>
      <c r="B88" s="107">
        <v>200098</v>
      </c>
      <c r="C88" s="90" t="s">
        <v>232</v>
      </c>
      <c r="D88" s="91" t="s">
        <v>11</v>
      </c>
      <c r="E88" s="91">
        <v>8</v>
      </c>
      <c r="F88" s="91">
        <f>SUMIF(ComputerStoreUnitsTable[Item Description],'STOCK CONTROL SHEET'!C88,ComputerStoreUnitsTable[Running Balance])</f>
        <v>0</v>
      </c>
      <c r="G88" s="91">
        <f>SUM(E88,F88)</f>
        <v>8</v>
      </c>
      <c r="H88" s="91">
        <v>5</v>
      </c>
      <c r="I88" s="92">
        <f t="shared" si="11"/>
        <v>5</v>
      </c>
      <c r="J88" s="91">
        <f t="shared" si="12"/>
        <v>3</v>
      </c>
      <c r="K88" s="91" t="str">
        <f t="shared" si="13"/>
        <v/>
      </c>
      <c r="L88" s="91"/>
      <c r="M88" s="91"/>
      <c r="N88" s="84" t="str">
        <f t="shared" si="9"/>
        <v>Available</v>
      </c>
    </row>
    <row r="89" spans="1:14" ht="30" customHeight="1" x14ac:dyDescent="0.35">
      <c r="A89" s="115"/>
      <c r="B89" s="108">
        <v>200097</v>
      </c>
      <c r="C89" s="93" t="s">
        <v>230</v>
      </c>
      <c r="D89" s="94" t="s">
        <v>11</v>
      </c>
      <c r="E89" s="94">
        <v>27</v>
      </c>
      <c r="F89" s="95">
        <f>SUMIF(ComputerStoreUnitsTable[Item Description],'STOCK CONTROL SHEET'!C89,ComputerStoreUnitsTable[Running Balance])</f>
        <v>0</v>
      </c>
      <c r="G89" s="94">
        <f>SUM(E89,F89)</f>
        <v>27</v>
      </c>
      <c r="H89" s="94">
        <v>24</v>
      </c>
      <c r="I89" s="92">
        <f t="shared" si="11"/>
        <v>24</v>
      </c>
      <c r="J89" s="94">
        <f t="shared" si="12"/>
        <v>3</v>
      </c>
      <c r="K89" s="94" t="str">
        <f t="shared" si="13"/>
        <v/>
      </c>
      <c r="L89" s="94"/>
      <c r="M89" s="94"/>
      <c r="N89" s="84" t="str">
        <f t="shared" si="9"/>
        <v>Available</v>
      </c>
    </row>
    <row r="90" spans="1:14" ht="30" customHeight="1" x14ac:dyDescent="0.35">
      <c r="A90" s="115"/>
      <c r="B90" s="107">
        <v>200099</v>
      </c>
      <c r="C90" s="90" t="s">
        <v>233</v>
      </c>
      <c r="D90" s="91" t="s">
        <v>11</v>
      </c>
      <c r="E90" s="91">
        <v>8</v>
      </c>
      <c r="F90" s="91">
        <f>SUMIF(ComputerStoreUnitsTable[Item Description],'STOCK CONTROL SHEET'!C90,ComputerStoreUnitsTable[Running Balance])</f>
        <v>0</v>
      </c>
      <c r="G90" s="91">
        <f>SUM(E90,F90)</f>
        <v>8</v>
      </c>
      <c r="H90" s="91">
        <v>5</v>
      </c>
      <c r="I90" s="92">
        <f t="shared" si="11"/>
        <v>5</v>
      </c>
      <c r="J90" s="91">
        <f t="shared" si="12"/>
        <v>3</v>
      </c>
      <c r="K90" s="91" t="str">
        <f t="shared" si="13"/>
        <v/>
      </c>
      <c r="L90" s="91"/>
      <c r="M90" s="91"/>
      <c r="N90" s="84" t="str">
        <f t="shared" si="9"/>
        <v>Available</v>
      </c>
    </row>
    <row r="91" spans="1:14" ht="30" customHeight="1" x14ac:dyDescent="0.35">
      <c r="A91" s="115"/>
      <c r="B91" s="108">
        <v>200051</v>
      </c>
      <c r="C91" s="93" t="s">
        <v>161</v>
      </c>
      <c r="D91" s="94" t="s">
        <v>11</v>
      </c>
      <c r="E91" s="94"/>
      <c r="F91" s="95">
        <f>SUMIF(ComputerStoreUnitsTable[Item Description],'STOCK CONTROL SHEET'!C91,ComputerStoreUnitsTable[Running Balance])</f>
        <v>0</v>
      </c>
      <c r="G91" s="94">
        <f>IF(SUM(E91,F91)&lt;0,"",SUM(E91,F91))</f>
        <v>0</v>
      </c>
      <c r="H91" s="94">
        <v>1</v>
      </c>
      <c r="I91" s="92">
        <f t="shared" si="11"/>
        <v>1</v>
      </c>
      <c r="J91" s="94" t="str">
        <f t="shared" si="12"/>
        <v/>
      </c>
      <c r="K91" s="94">
        <f t="shared" si="13"/>
        <v>1</v>
      </c>
      <c r="L91" s="94"/>
      <c r="M91" s="94"/>
      <c r="N91" s="84" t="str">
        <f t="shared" si="9"/>
        <v>Available</v>
      </c>
    </row>
    <row r="92" spans="1:14" ht="30" customHeight="1" x14ac:dyDescent="0.35">
      <c r="A92" s="115"/>
      <c r="B92" s="107">
        <v>200002</v>
      </c>
      <c r="C92" s="90" t="s">
        <v>162</v>
      </c>
      <c r="D92" s="91" t="s">
        <v>11</v>
      </c>
      <c r="E92" s="91"/>
      <c r="F92" s="91">
        <f>SUMIF(ComputerStoreUnitsTable[Item Description],'STOCK CONTROL SHEET'!C92,ComputerStoreUnitsTable[Running Balance])</f>
        <v>0</v>
      </c>
      <c r="G92" s="91">
        <f>IF(SUM(E92,F92)&lt;0,"",SUM(E92,F92))</f>
        <v>0</v>
      </c>
      <c r="H92" s="91">
        <v>5</v>
      </c>
      <c r="I92" s="92">
        <f t="shared" si="11"/>
        <v>5</v>
      </c>
      <c r="J92" s="91" t="str">
        <f t="shared" si="12"/>
        <v/>
      </c>
      <c r="K92" s="91">
        <f t="shared" si="13"/>
        <v>5</v>
      </c>
      <c r="L92" s="91"/>
      <c r="M92" s="91"/>
      <c r="N92" s="84" t="str">
        <f t="shared" si="9"/>
        <v>Available</v>
      </c>
    </row>
    <row r="93" spans="1:14" ht="30" customHeight="1" x14ac:dyDescent="0.35">
      <c r="A93" s="115"/>
      <c r="B93" s="108">
        <v>200069</v>
      </c>
      <c r="C93" s="93" t="s">
        <v>211</v>
      </c>
      <c r="D93" s="94" t="s">
        <v>16</v>
      </c>
      <c r="E93" s="94">
        <v>22</v>
      </c>
      <c r="F93" s="95">
        <f>SUMIF(ComputerStoreUnitsTable[Item Description],'STOCK CONTROL SHEET'!C93,ComputerStoreUnitsTable[Running Balance])</f>
        <v>0</v>
      </c>
      <c r="G93" s="94">
        <f>IF(SUM(E93,F93)&lt;0,"",SUM(E93,F93))</f>
        <v>22</v>
      </c>
      <c r="H93" s="94">
        <v>19</v>
      </c>
      <c r="I93" s="92">
        <f t="shared" si="11"/>
        <v>19</v>
      </c>
      <c r="J93" s="94">
        <f t="shared" si="12"/>
        <v>3</v>
      </c>
      <c r="K93" s="94" t="str">
        <f t="shared" si="13"/>
        <v/>
      </c>
      <c r="L93" s="94">
        <v>5</v>
      </c>
      <c r="M93" s="94">
        <v>3</v>
      </c>
      <c r="N93" s="84" t="str">
        <f t="shared" si="9"/>
        <v>Available</v>
      </c>
    </row>
    <row r="94" spans="1:14" ht="30" customHeight="1" x14ac:dyDescent="0.35">
      <c r="A94" s="115"/>
      <c r="B94" s="107"/>
      <c r="C94" s="90" t="s">
        <v>241</v>
      </c>
      <c r="D94" s="91" t="s">
        <v>11</v>
      </c>
      <c r="E94" s="91"/>
      <c r="F94" s="91">
        <f>SUMIF(ComputerStoreUnitsTable[Item Description],'STOCK CONTROL SHEET'!C94,ComputerStoreUnitsTable[Running Balance])</f>
        <v>0</v>
      </c>
      <c r="G94" s="91">
        <f>SUM(E94,F94)</f>
        <v>0</v>
      </c>
      <c r="H94" s="91">
        <v>1</v>
      </c>
      <c r="I94" s="92">
        <f t="shared" si="11"/>
        <v>1</v>
      </c>
      <c r="J94" s="91" t="str">
        <f t="shared" si="12"/>
        <v/>
      </c>
      <c r="K94" s="91">
        <f t="shared" si="13"/>
        <v>1</v>
      </c>
      <c r="L94" s="91"/>
      <c r="M94" s="91"/>
      <c r="N94" s="84" t="str">
        <f t="shared" si="9"/>
        <v>Available</v>
      </c>
    </row>
    <row r="95" spans="1:14" ht="30" customHeight="1" x14ac:dyDescent="0.35">
      <c r="A95" s="115"/>
      <c r="B95" s="108">
        <v>200016</v>
      </c>
      <c r="C95" s="93" t="s">
        <v>216</v>
      </c>
      <c r="D95" s="94" t="s">
        <v>11</v>
      </c>
      <c r="E95" s="94"/>
      <c r="F95" s="95">
        <f>SUMIF(ComputerStoreUnitsTable[Item Description],'STOCK CONTROL SHEET'!C95,ComputerStoreUnitsTable[Running Balance])</f>
        <v>0</v>
      </c>
      <c r="G95" s="94">
        <f t="shared" ref="G95:G107" si="15">IF(SUM(E95,F95)&lt;0,"",SUM(E95,F95))</f>
        <v>0</v>
      </c>
      <c r="H95" s="94">
        <v>2</v>
      </c>
      <c r="I95" s="92">
        <f t="shared" si="11"/>
        <v>2</v>
      </c>
      <c r="J95" s="94" t="str">
        <f t="shared" si="12"/>
        <v/>
      </c>
      <c r="K95" s="94">
        <f t="shared" si="13"/>
        <v>2</v>
      </c>
      <c r="L95" s="94">
        <v>5</v>
      </c>
      <c r="M95" s="94">
        <v>2</v>
      </c>
      <c r="N95" s="84" t="str">
        <f t="shared" si="9"/>
        <v>Reorder</v>
      </c>
    </row>
    <row r="96" spans="1:14" ht="30" customHeight="1" x14ac:dyDescent="0.35">
      <c r="A96" s="115"/>
      <c r="B96" s="107">
        <v>200011</v>
      </c>
      <c r="C96" s="90" t="s">
        <v>95</v>
      </c>
      <c r="D96" s="91" t="s">
        <v>11</v>
      </c>
      <c r="E96" s="91"/>
      <c r="F96" s="91">
        <f>SUMIF(ComputerStoreUnitsTable[Item Description],'STOCK CONTROL SHEET'!C96,ComputerStoreUnitsTable[Running Balance])</f>
        <v>0</v>
      </c>
      <c r="G96" s="91">
        <f t="shared" si="15"/>
        <v>0</v>
      </c>
      <c r="H96" s="91">
        <v>4</v>
      </c>
      <c r="I96" s="92">
        <f t="shared" si="11"/>
        <v>4</v>
      </c>
      <c r="J96" s="91" t="str">
        <f t="shared" si="12"/>
        <v/>
      </c>
      <c r="K96" s="91">
        <f t="shared" si="13"/>
        <v>4</v>
      </c>
      <c r="L96" s="91">
        <v>5</v>
      </c>
      <c r="M96" s="91">
        <v>3</v>
      </c>
      <c r="N96" s="84" t="str">
        <f t="shared" si="9"/>
        <v>Available</v>
      </c>
    </row>
    <row r="97" spans="1:14" ht="30" customHeight="1" x14ac:dyDescent="0.35">
      <c r="A97" s="115"/>
      <c r="B97" s="108">
        <v>100237</v>
      </c>
      <c r="C97" s="93" t="s">
        <v>96</v>
      </c>
      <c r="D97" s="94" t="s">
        <v>11</v>
      </c>
      <c r="E97" s="94"/>
      <c r="F97" s="95">
        <f>SUMIF(ComputerStoreUnitsTable[Item Description],'STOCK CONTROL SHEET'!C97,ComputerStoreUnitsTable[Running Balance])</f>
        <v>0</v>
      </c>
      <c r="G97" s="94">
        <f t="shared" si="15"/>
        <v>0</v>
      </c>
      <c r="H97" s="94"/>
      <c r="I97" s="92">
        <f t="shared" si="11"/>
        <v>0</v>
      </c>
      <c r="J97" s="94" t="str">
        <f t="shared" si="12"/>
        <v/>
      </c>
      <c r="K97" s="94" t="str">
        <f t="shared" si="13"/>
        <v/>
      </c>
      <c r="L97" s="94"/>
      <c r="M97" s="94"/>
      <c r="N97" s="84" t="str">
        <f t="shared" si="9"/>
        <v>Reorder</v>
      </c>
    </row>
    <row r="98" spans="1:14" ht="30" customHeight="1" x14ac:dyDescent="0.35">
      <c r="A98" s="115"/>
      <c r="B98" s="107">
        <v>200089</v>
      </c>
      <c r="C98" s="90" t="s">
        <v>97</v>
      </c>
      <c r="D98" s="91" t="s">
        <v>11</v>
      </c>
      <c r="E98" s="91">
        <v>3</v>
      </c>
      <c r="F98" s="91">
        <f>SUMIF(ComputerStoreUnitsTable[Item Description],'STOCK CONTROL SHEET'!C98,ComputerStoreUnitsTable[Running Balance])</f>
        <v>0</v>
      </c>
      <c r="G98" s="91">
        <f t="shared" si="15"/>
        <v>3</v>
      </c>
      <c r="H98" s="91">
        <v>4</v>
      </c>
      <c r="I98" s="92">
        <f t="shared" si="11"/>
        <v>4</v>
      </c>
      <c r="J98" s="91" t="str">
        <f t="shared" si="12"/>
        <v/>
      </c>
      <c r="K98" s="91">
        <f t="shared" si="13"/>
        <v>1</v>
      </c>
      <c r="L98" s="91">
        <v>5</v>
      </c>
      <c r="M98" s="91">
        <v>2</v>
      </c>
      <c r="N98" s="84" t="str">
        <f t="shared" si="9"/>
        <v>Available</v>
      </c>
    </row>
    <row r="99" spans="1:14" ht="30" customHeight="1" x14ac:dyDescent="0.35">
      <c r="A99" s="115"/>
      <c r="B99" s="108">
        <v>200019</v>
      </c>
      <c r="C99" s="93" t="s">
        <v>98</v>
      </c>
      <c r="D99" s="94" t="s">
        <v>11</v>
      </c>
      <c r="E99" s="94">
        <v>11</v>
      </c>
      <c r="F99" s="95">
        <f>SUMIF(ComputerStoreUnitsTable[Item Description],'STOCK CONTROL SHEET'!C99,ComputerStoreUnitsTable[Running Balance])</f>
        <v>0</v>
      </c>
      <c r="G99" s="94">
        <f t="shared" si="15"/>
        <v>11</v>
      </c>
      <c r="H99" s="94">
        <v>9</v>
      </c>
      <c r="I99" s="92">
        <f t="shared" si="11"/>
        <v>9</v>
      </c>
      <c r="J99" s="94">
        <f t="shared" si="12"/>
        <v>2</v>
      </c>
      <c r="K99" s="94" t="str">
        <f t="shared" si="13"/>
        <v/>
      </c>
      <c r="L99" s="94">
        <v>12</v>
      </c>
      <c r="M99" s="94">
        <v>4</v>
      </c>
      <c r="N99" s="84" t="str">
        <f t="shared" si="9"/>
        <v>Available</v>
      </c>
    </row>
    <row r="100" spans="1:14" ht="30" customHeight="1" x14ac:dyDescent="0.35">
      <c r="A100" s="115"/>
      <c r="B100" s="107">
        <v>200015</v>
      </c>
      <c r="C100" s="90" t="s">
        <v>163</v>
      </c>
      <c r="D100" s="91" t="s">
        <v>11</v>
      </c>
      <c r="E100" s="91"/>
      <c r="F100" s="91">
        <f>SUMIF(ComputerStoreUnitsTable[Item Description],'STOCK CONTROL SHEET'!C100,ComputerStoreUnitsTable[Running Balance])</f>
        <v>0</v>
      </c>
      <c r="G100" s="91">
        <f t="shared" si="15"/>
        <v>0</v>
      </c>
      <c r="H100" s="91"/>
      <c r="I100" s="92">
        <f t="shared" si="11"/>
        <v>0</v>
      </c>
      <c r="J100" s="91" t="str">
        <f t="shared" si="12"/>
        <v/>
      </c>
      <c r="K100" s="91" t="str">
        <f t="shared" si="13"/>
        <v/>
      </c>
      <c r="L100" s="91"/>
      <c r="M100" s="91"/>
      <c r="N100" s="84" t="str">
        <f t="shared" si="9"/>
        <v>Reorder</v>
      </c>
    </row>
    <row r="101" spans="1:14" ht="30" customHeight="1" x14ac:dyDescent="0.35">
      <c r="A101" s="115"/>
      <c r="B101" s="108">
        <v>200085</v>
      </c>
      <c r="C101" s="93" t="s">
        <v>229</v>
      </c>
      <c r="D101" s="94" t="s">
        <v>11</v>
      </c>
      <c r="E101" s="94">
        <v>6</v>
      </c>
      <c r="F101" s="95">
        <f>SUMIF(ComputerStoreUnitsTable[Item Description],'STOCK CONTROL SHEET'!C101,ComputerStoreUnitsTable[Running Balance])</f>
        <v>0</v>
      </c>
      <c r="G101" s="94">
        <f t="shared" si="15"/>
        <v>6</v>
      </c>
      <c r="H101" s="94">
        <v>8</v>
      </c>
      <c r="I101" s="92">
        <f t="shared" si="11"/>
        <v>8</v>
      </c>
      <c r="J101" s="94" t="str">
        <f t="shared" si="12"/>
        <v/>
      </c>
      <c r="K101" s="94">
        <f t="shared" si="13"/>
        <v>2</v>
      </c>
      <c r="L101" s="94">
        <v>5</v>
      </c>
      <c r="M101" s="94">
        <v>2</v>
      </c>
      <c r="N101" s="84" t="str">
        <f t="shared" si="9"/>
        <v>Available</v>
      </c>
    </row>
    <row r="102" spans="1:14" ht="30" customHeight="1" x14ac:dyDescent="0.35">
      <c r="A102" s="115"/>
      <c r="B102" s="107">
        <v>200083</v>
      </c>
      <c r="C102" s="90" t="s">
        <v>99</v>
      </c>
      <c r="D102" s="91" t="s">
        <v>11</v>
      </c>
      <c r="E102" s="91">
        <v>6</v>
      </c>
      <c r="F102" s="91">
        <f>SUMIF(ComputerStoreUnitsTable[Item Description],'STOCK CONTROL SHEET'!C102,ComputerStoreUnitsTable[Running Balance])</f>
        <v>0</v>
      </c>
      <c r="G102" s="91">
        <f t="shared" si="15"/>
        <v>6</v>
      </c>
      <c r="H102" s="91">
        <v>8</v>
      </c>
      <c r="I102" s="92">
        <f t="shared" si="11"/>
        <v>8</v>
      </c>
      <c r="J102" s="91" t="str">
        <f t="shared" si="12"/>
        <v/>
      </c>
      <c r="K102" s="91">
        <f t="shared" si="13"/>
        <v>2</v>
      </c>
      <c r="L102" s="91">
        <v>5</v>
      </c>
      <c r="M102" s="91">
        <v>2</v>
      </c>
      <c r="N102" s="84" t="str">
        <f t="shared" si="9"/>
        <v>Available</v>
      </c>
    </row>
    <row r="103" spans="1:14" ht="30" customHeight="1" x14ac:dyDescent="0.35">
      <c r="A103" s="115"/>
      <c r="B103" s="108">
        <v>200084</v>
      </c>
      <c r="C103" s="93" t="s">
        <v>100</v>
      </c>
      <c r="D103" s="94" t="s">
        <v>11</v>
      </c>
      <c r="E103" s="94">
        <v>6</v>
      </c>
      <c r="F103" s="95">
        <f>SUMIF(ComputerStoreUnitsTable[Item Description],'STOCK CONTROL SHEET'!C103,ComputerStoreUnitsTable[Running Balance])</f>
        <v>0</v>
      </c>
      <c r="G103" s="94">
        <f t="shared" si="15"/>
        <v>6</v>
      </c>
      <c r="H103" s="94">
        <v>6</v>
      </c>
      <c r="I103" s="92">
        <f t="shared" ref="I103:I124" si="16">IF(SUM(H103,F103)&lt;0,"",SUM(H103,F103))</f>
        <v>6</v>
      </c>
      <c r="J103" s="94" t="str">
        <f t="shared" ref="J103:J124" si="17">IF(G103-I103&lt;=0,"",G103-I103)</f>
        <v/>
      </c>
      <c r="K103" s="94" t="str">
        <f t="shared" ref="K103:K124" si="18">IF(I103-G103&lt;=0,"",I103-G103)</f>
        <v/>
      </c>
      <c r="L103" s="94">
        <v>5</v>
      </c>
      <c r="M103" s="94">
        <v>2</v>
      </c>
      <c r="N103" s="84" t="str">
        <f t="shared" ref="N103:N124" si="19">IF(I103&lt;=M103,"Reorder","Available")</f>
        <v>Available</v>
      </c>
    </row>
    <row r="104" spans="1:14" ht="30" customHeight="1" x14ac:dyDescent="0.35">
      <c r="A104" s="115"/>
      <c r="B104" s="107">
        <v>200086</v>
      </c>
      <c r="C104" s="90" t="s">
        <v>101</v>
      </c>
      <c r="D104" s="91" t="s">
        <v>11</v>
      </c>
      <c r="E104" s="91">
        <v>7</v>
      </c>
      <c r="F104" s="91">
        <f>SUMIF(ComputerStoreUnitsTable[Item Description],'STOCK CONTROL SHEET'!C104,ComputerStoreUnitsTable[Running Balance])</f>
        <v>0</v>
      </c>
      <c r="G104" s="91">
        <f t="shared" si="15"/>
        <v>7</v>
      </c>
      <c r="H104" s="91">
        <v>5</v>
      </c>
      <c r="I104" s="92">
        <f t="shared" si="16"/>
        <v>5</v>
      </c>
      <c r="J104" s="91">
        <f t="shared" si="17"/>
        <v>2</v>
      </c>
      <c r="K104" s="91" t="str">
        <f t="shared" si="18"/>
        <v/>
      </c>
      <c r="L104" s="91">
        <v>5</v>
      </c>
      <c r="M104" s="91">
        <v>2</v>
      </c>
      <c r="N104" s="84" t="str">
        <f t="shared" si="19"/>
        <v>Available</v>
      </c>
    </row>
    <row r="105" spans="1:14" ht="30" customHeight="1" x14ac:dyDescent="0.35">
      <c r="A105" s="115"/>
      <c r="B105" s="108">
        <v>200090</v>
      </c>
      <c r="C105" s="93" t="s">
        <v>214</v>
      </c>
      <c r="D105" s="94" t="s">
        <v>11</v>
      </c>
      <c r="E105" s="94">
        <v>1</v>
      </c>
      <c r="F105" s="95">
        <f>SUMIF(ComputerStoreUnitsTable[Item Description],'STOCK CONTROL SHEET'!C105,ComputerStoreUnitsTable[Running Balance])</f>
        <v>0</v>
      </c>
      <c r="G105" s="94">
        <f t="shared" si="15"/>
        <v>1</v>
      </c>
      <c r="H105" s="94">
        <v>2</v>
      </c>
      <c r="I105" s="92">
        <f t="shared" si="16"/>
        <v>2</v>
      </c>
      <c r="J105" s="94" t="str">
        <f t="shared" si="17"/>
        <v/>
      </c>
      <c r="K105" s="94">
        <f t="shared" si="18"/>
        <v>1</v>
      </c>
      <c r="L105" s="94">
        <v>5</v>
      </c>
      <c r="M105" s="94">
        <v>2</v>
      </c>
      <c r="N105" s="84" t="str">
        <f t="shared" si="19"/>
        <v>Reorder</v>
      </c>
    </row>
    <row r="106" spans="1:14" ht="30" customHeight="1" x14ac:dyDescent="0.35">
      <c r="A106" s="115"/>
      <c r="B106" s="107">
        <v>200088</v>
      </c>
      <c r="C106" s="90" t="s">
        <v>102</v>
      </c>
      <c r="D106" s="91" t="s">
        <v>11</v>
      </c>
      <c r="E106" s="91">
        <v>3</v>
      </c>
      <c r="F106" s="91">
        <f>SUMIF(ComputerStoreUnitsTable[Item Description],'STOCK CONTROL SHEET'!C106,ComputerStoreUnitsTable[Running Balance])</f>
        <v>0</v>
      </c>
      <c r="G106" s="91">
        <f t="shared" si="15"/>
        <v>3</v>
      </c>
      <c r="H106" s="91">
        <v>6</v>
      </c>
      <c r="I106" s="92">
        <f t="shared" si="16"/>
        <v>6</v>
      </c>
      <c r="J106" s="91" t="str">
        <f t="shared" si="17"/>
        <v/>
      </c>
      <c r="K106" s="91">
        <f t="shared" si="18"/>
        <v>3</v>
      </c>
      <c r="L106" s="91">
        <v>5</v>
      </c>
      <c r="M106" s="91">
        <v>2</v>
      </c>
      <c r="N106" s="84" t="str">
        <f t="shared" si="19"/>
        <v>Available</v>
      </c>
    </row>
    <row r="107" spans="1:14" ht="30" customHeight="1" x14ac:dyDescent="0.35">
      <c r="A107" s="115"/>
      <c r="B107" s="108">
        <v>200014</v>
      </c>
      <c r="C107" s="93" t="s">
        <v>164</v>
      </c>
      <c r="D107" s="94" t="s">
        <v>11</v>
      </c>
      <c r="E107" s="94">
        <v>4</v>
      </c>
      <c r="F107" s="95">
        <f>SUMIF(ComputerStoreUnitsTable[Item Description],'STOCK CONTROL SHEET'!C107,ComputerStoreUnitsTable[Running Balance])</f>
        <v>0</v>
      </c>
      <c r="G107" s="94">
        <f t="shared" si="15"/>
        <v>4</v>
      </c>
      <c r="H107" s="94">
        <v>4</v>
      </c>
      <c r="I107" s="92">
        <f t="shared" si="16"/>
        <v>4</v>
      </c>
      <c r="J107" s="94" t="str">
        <f t="shared" si="17"/>
        <v/>
      </c>
      <c r="K107" s="94" t="str">
        <f t="shared" si="18"/>
        <v/>
      </c>
      <c r="L107" s="94"/>
      <c r="M107" s="94"/>
      <c r="N107" s="84" t="str">
        <f t="shared" si="19"/>
        <v>Available</v>
      </c>
    </row>
    <row r="108" spans="1:14" ht="30" customHeight="1" x14ac:dyDescent="0.35">
      <c r="A108" s="115"/>
      <c r="B108" s="107"/>
      <c r="C108" s="90" t="s">
        <v>227</v>
      </c>
      <c r="D108" s="91" t="s">
        <v>11</v>
      </c>
      <c r="E108" s="91">
        <v>5</v>
      </c>
      <c r="F108" s="91">
        <f>SUMIF(ComputerStoreUnitsTable[Item Description],'STOCK CONTROL SHEET'!C108,ComputerStoreUnitsTable[Running Balance])</f>
        <v>0</v>
      </c>
      <c r="G108" s="91">
        <f>SUM(E108,F108)</f>
        <v>5</v>
      </c>
      <c r="H108" s="91">
        <v>5</v>
      </c>
      <c r="I108" s="92">
        <f t="shared" si="16"/>
        <v>5</v>
      </c>
      <c r="J108" s="91" t="str">
        <f t="shared" si="17"/>
        <v/>
      </c>
      <c r="K108" s="91" t="str">
        <f t="shared" si="18"/>
        <v/>
      </c>
      <c r="L108" s="91"/>
      <c r="M108" s="91"/>
      <c r="N108" s="84" t="str">
        <f t="shared" si="19"/>
        <v>Available</v>
      </c>
    </row>
    <row r="109" spans="1:14" ht="30" customHeight="1" x14ac:dyDescent="0.35">
      <c r="A109" s="115"/>
      <c r="B109" s="108">
        <v>200058</v>
      </c>
      <c r="C109" s="93" t="s">
        <v>165</v>
      </c>
      <c r="D109" s="94" t="s">
        <v>11</v>
      </c>
      <c r="E109" s="94"/>
      <c r="F109" s="95">
        <f>SUMIF(ComputerStoreUnitsTable[Item Description],'STOCK CONTROL SHEET'!C109,ComputerStoreUnitsTable[Running Balance])</f>
        <v>0</v>
      </c>
      <c r="G109" s="94">
        <f>IF(SUM(E109,F109)&lt;0,"",SUM(E109,F109))</f>
        <v>0</v>
      </c>
      <c r="H109" s="94"/>
      <c r="I109" s="92">
        <f t="shared" si="16"/>
        <v>0</v>
      </c>
      <c r="J109" s="94" t="str">
        <f t="shared" si="17"/>
        <v/>
      </c>
      <c r="K109" s="94" t="str">
        <f t="shared" si="18"/>
        <v/>
      </c>
      <c r="L109" s="94"/>
      <c r="M109" s="94"/>
      <c r="N109" s="84" t="str">
        <f t="shared" si="19"/>
        <v>Reorder</v>
      </c>
    </row>
    <row r="110" spans="1:14" ht="30" customHeight="1" x14ac:dyDescent="0.35">
      <c r="A110" s="115"/>
      <c r="B110" s="107">
        <v>100173</v>
      </c>
      <c r="C110" s="90" t="s">
        <v>235</v>
      </c>
      <c r="D110" s="91" t="s">
        <v>11</v>
      </c>
      <c r="E110" s="91"/>
      <c r="F110" s="91">
        <f>SUMIF(ComputerStoreUnitsTable[Item Description],'STOCK CONTROL SHEET'!C110,ComputerStoreUnitsTable[Running Balance])</f>
        <v>0</v>
      </c>
      <c r="G110" s="91">
        <f>SUM(E110,F110)</f>
        <v>0</v>
      </c>
      <c r="H110" s="91"/>
      <c r="I110" s="92">
        <f t="shared" si="16"/>
        <v>0</v>
      </c>
      <c r="J110" s="91" t="str">
        <f t="shared" si="17"/>
        <v/>
      </c>
      <c r="K110" s="91" t="str">
        <f t="shared" si="18"/>
        <v/>
      </c>
      <c r="L110" s="91"/>
      <c r="M110" s="91"/>
      <c r="N110" s="84" t="str">
        <f t="shared" si="19"/>
        <v>Reorder</v>
      </c>
    </row>
    <row r="111" spans="1:14" ht="30" customHeight="1" x14ac:dyDescent="0.35">
      <c r="A111" s="115"/>
      <c r="B111" s="108">
        <v>200054</v>
      </c>
      <c r="C111" s="93" t="s">
        <v>103</v>
      </c>
      <c r="D111" s="94" t="s">
        <v>11</v>
      </c>
      <c r="E111" s="94">
        <v>5</v>
      </c>
      <c r="F111" s="95">
        <f>SUMIF(ComputerStoreUnitsTable[Item Description],'STOCK CONTROL SHEET'!C111,ComputerStoreUnitsTable[Running Balance])</f>
        <v>0</v>
      </c>
      <c r="G111" s="94">
        <f>IF(SUM(E111,F111)&lt;0,"",SUM(E111,F111))</f>
        <v>5</v>
      </c>
      <c r="H111" s="94">
        <v>4</v>
      </c>
      <c r="I111" s="92">
        <f t="shared" si="16"/>
        <v>4</v>
      </c>
      <c r="J111" s="94">
        <f t="shared" si="17"/>
        <v>1</v>
      </c>
      <c r="K111" s="94" t="str">
        <f t="shared" si="18"/>
        <v/>
      </c>
      <c r="L111" s="94">
        <v>20</v>
      </c>
      <c r="M111" s="94">
        <v>6</v>
      </c>
      <c r="N111" s="84" t="str">
        <f t="shared" si="19"/>
        <v>Reorder</v>
      </c>
    </row>
    <row r="112" spans="1:14" ht="30" customHeight="1" x14ac:dyDescent="0.35">
      <c r="A112" s="115"/>
      <c r="B112" s="107">
        <v>200005</v>
      </c>
      <c r="C112" s="90" t="s">
        <v>104</v>
      </c>
      <c r="D112" s="91" t="s">
        <v>11</v>
      </c>
      <c r="E112" s="91"/>
      <c r="F112" s="91">
        <f>SUMIF(ComputerStoreUnitsTable[Item Description],'STOCK CONTROL SHEET'!C112,ComputerStoreUnitsTable[Running Balance])</f>
        <v>0</v>
      </c>
      <c r="G112" s="91">
        <f>IF(SUM(E112,F112)&lt;0,"",SUM(E112,F112))</f>
        <v>0</v>
      </c>
      <c r="H112" s="91">
        <v>4</v>
      </c>
      <c r="I112" s="92">
        <f t="shared" si="16"/>
        <v>4</v>
      </c>
      <c r="J112" s="91" t="str">
        <f t="shared" si="17"/>
        <v/>
      </c>
      <c r="K112" s="91">
        <f t="shared" si="18"/>
        <v>4</v>
      </c>
      <c r="L112" s="91"/>
      <c r="M112" s="91"/>
      <c r="N112" s="84" t="str">
        <f t="shared" si="19"/>
        <v>Available</v>
      </c>
    </row>
    <row r="113" spans="1:14" ht="30" customHeight="1" x14ac:dyDescent="0.35">
      <c r="A113" s="115"/>
      <c r="B113" s="108">
        <v>200006</v>
      </c>
      <c r="C113" s="93" t="s">
        <v>166</v>
      </c>
      <c r="D113" s="94" t="s">
        <v>11</v>
      </c>
      <c r="E113" s="94"/>
      <c r="F113" s="95">
        <f>SUMIF(ComputerStoreUnitsTable[Item Description],'STOCK CONTROL SHEET'!C113,ComputerStoreUnitsTable[Running Balance])</f>
        <v>0</v>
      </c>
      <c r="G113" s="94">
        <f>IF(SUM(E113,F113)&lt;0,"",SUM(E113,F113))</f>
        <v>0</v>
      </c>
      <c r="H113" s="94">
        <v>7</v>
      </c>
      <c r="I113" s="92">
        <f t="shared" si="16"/>
        <v>7</v>
      </c>
      <c r="J113" s="94" t="str">
        <f t="shared" si="17"/>
        <v/>
      </c>
      <c r="K113" s="94">
        <f t="shared" si="18"/>
        <v>7</v>
      </c>
      <c r="L113" s="94"/>
      <c r="M113" s="94"/>
      <c r="N113" s="84" t="str">
        <f t="shared" si="19"/>
        <v>Available</v>
      </c>
    </row>
    <row r="114" spans="1:14" ht="30" customHeight="1" x14ac:dyDescent="0.35">
      <c r="A114" s="115"/>
      <c r="B114" s="107"/>
      <c r="C114" s="90" t="s">
        <v>247</v>
      </c>
      <c r="D114" s="91" t="s">
        <v>11</v>
      </c>
      <c r="E114" s="91"/>
      <c r="F114" s="91">
        <f>SUMIF(ComputerStoreUnitsTable[Item Description],'STOCK CONTROL SHEET'!C114,ComputerStoreUnitsTable[Running Balance])</f>
        <v>0</v>
      </c>
      <c r="G114" s="91">
        <f>SUM(E114,F114)</f>
        <v>0</v>
      </c>
      <c r="H114" s="91">
        <v>2</v>
      </c>
      <c r="I114" s="92">
        <f t="shared" si="16"/>
        <v>2</v>
      </c>
      <c r="J114" s="91" t="str">
        <f t="shared" si="17"/>
        <v/>
      </c>
      <c r="K114" s="91">
        <f t="shared" si="18"/>
        <v>2</v>
      </c>
      <c r="L114" s="91"/>
      <c r="M114" s="91"/>
      <c r="N114" s="84" t="str">
        <f t="shared" si="19"/>
        <v>Available</v>
      </c>
    </row>
    <row r="115" spans="1:14" ht="30" customHeight="1" x14ac:dyDescent="0.35">
      <c r="A115" s="115"/>
      <c r="B115" s="108"/>
      <c r="C115" s="93" t="s">
        <v>248</v>
      </c>
      <c r="D115" s="94" t="s">
        <v>11</v>
      </c>
      <c r="E115" s="94"/>
      <c r="F115" s="95">
        <f>SUMIF(ComputerStoreUnitsTable[Item Description],'STOCK CONTROL SHEET'!C115,ComputerStoreUnitsTable[Running Balance])</f>
        <v>0</v>
      </c>
      <c r="G115" s="94">
        <f>SUM(E115,F115)</f>
        <v>0</v>
      </c>
      <c r="H115" s="94">
        <v>2</v>
      </c>
      <c r="I115" s="92">
        <f t="shared" si="16"/>
        <v>2</v>
      </c>
      <c r="J115" s="94" t="str">
        <f t="shared" si="17"/>
        <v/>
      </c>
      <c r="K115" s="94">
        <f t="shared" si="18"/>
        <v>2</v>
      </c>
      <c r="L115" s="94"/>
      <c r="M115" s="94"/>
      <c r="N115" s="84" t="str">
        <f t="shared" si="19"/>
        <v>Available</v>
      </c>
    </row>
    <row r="116" spans="1:14" ht="30" customHeight="1" x14ac:dyDescent="0.35">
      <c r="A116" s="115"/>
      <c r="B116" s="107">
        <v>200025</v>
      </c>
      <c r="C116" s="90" t="s">
        <v>167</v>
      </c>
      <c r="D116" s="91" t="s">
        <v>11</v>
      </c>
      <c r="E116" s="91"/>
      <c r="F116" s="91">
        <f>SUMIF(ComputerStoreUnitsTable[Item Description],'STOCK CONTROL SHEET'!C116,ComputerStoreUnitsTable[Running Balance])</f>
        <v>0</v>
      </c>
      <c r="G116" s="91">
        <f t="shared" ref="G116:G124" si="20">IF(SUM(E116,F116)&lt;0,"",SUM(E116,F116))</f>
        <v>0</v>
      </c>
      <c r="H116" s="91"/>
      <c r="I116" s="92">
        <f t="shared" si="16"/>
        <v>0</v>
      </c>
      <c r="J116" s="91" t="str">
        <f t="shared" si="17"/>
        <v/>
      </c>
      <c r="K116" s="91" t="str">
        <f t="shared" si="18"/>
        <v/>
      </c>
      <c r="L116" s="91"/>
      <c r="M116" s="91"/>
      <c r="N116" s="84" t="str">
        <f t="shared" si="19"/>
        <v>Reorder</v>
      </c>
    </row>
    <row r="117" spans="1:14" x14ac:dyDescent="0.35">
      <c r="A117" s="115"/>
      <c r="B117" s="108">
        <v>200022</v>
      </c>
      <c r="C117" s="93" t="s">
        <v>105</v>
      </c>
      <c r="D117" s="94" t="s">
        <v>14</v>
      </c>
      <c r="E117" s="94">
        <v>17</v>
      </c>
      <c r="F117" s="95">
        <f>SUMIF(ComputerStoreUnitsTable[Item Description],'STOCK CONTROL SHEET'!C117,ComputerStoreUnitsTable[Running Balance])</f>
        <v>0</v>
      </c>
      <c r="G117" s="94">
        <f t="shared" si="20"/>
        <v>17</v>
      </c>
      <c r="H117" s="94">
        <v>18</v>
      </c>
      <c r="I117" s="92">
        <f t="shared" si="16"/>
        <v>18</v>
      </c>
      <c r="J117" s="94" t="str">
        <f t="shared" si="17"/>
        <v/>
      </c>
      <c r="K117" s="94">
        <f t="shared" si="18"/>
        <v>1</v>
      </c>
      <c r="L117" s="94"/>
      <c r="M117" s="94"/>
      <c r="N117" s="84" t="str">
        <f t="shared" si="19"/>
        <v>Available</v>
      </c>
    </row>
    <row r="118" spans="1:14" ht="29" x14ac:dyDescent="0.35">
      <c r="A118" s="115"/>
      <c r="B118" s="107">
        <v>200018</v>
      </c>
      <c r="C118" s="90" t="s">
        <v>234</v>
      </c>
      <c r="D118" s="91" t="s">
        <v>11</v>
      </c>
      <c r="E118" s="91">
        <v>2</v>
      </c>
      <c r="F118" s="91">
        <f>SUMIF(ComputerStoreUnitsTable[Item Description],'STOCK CONTROL SHEET'!C118,ComputerStoreUnitsTable[Running Balance])</f>
        <v>0</v>
      </c>
      <c r="G118" s="91">
        <f t="shared" si="20"/>
        <v>2</v>
      </c>
      <c r="H118" s="91">
        <v>2</v>
      </c>
      <c r="I118" s="92">
        <f t="shared" si="16"/>
        <v>2</v>
      </c>
      <c r="J118" s="91" t="str">
        <f t="shared" si="17"/>
        <v/>
      </c>
      <c r="K118" s="91" t="str">
        <f t="shared" si="18"/>
        <v/>
      </c>
      <c r="L118" s="91">
        <v>12</v>
      </c>
      <c r="M118" s="91">
        <v>3</v>
      </c>
      <c r="N118" s="84" t="str">
        <f t="shared" si="19"/>
        <v>Reorder</v>
      </c>
    </row>
    <row r="119" spans="1:14" x14ac:dyDescent="0.35">
      <c r="A119" s="115"/>
      <c r="B119" s="108">
        <v>200053</v>
      </c>
      <c r="C119" s="93" t="s">
        <v>106</v>
      </c>
      <c r="D119" s="94" t="s">
        <v>11</v>
      </c>
      <c r="E119" s="94">
        <v>19</v>
      </c>
      <c r="F119" s="95">
        <f>SUMIF(ComputerStoreUnitsTable[Item Description],'STOCK CONTROL SHEET'!C119,ComputerStoreUnitsTable[Running Balance])</f>
        <v>0</v>
      </c>
      <c r="G119" s="94">
        <f t="shared" si="20"/>
        <v>19</v>
      </c>
      <c r="H119" s="94">
        <v>15</v>
      </c>
      <c r="I119" s="92">
        <f t="shared" si="16"/>
        <v>15</v>
      </c>
      <c r="J119" s="94">
        <f t="shared" si="17"/>
        <v>4</v>
      </c>
      <c r="K119" s="94" t="str">
        <f t="shared" si="18"/>
        <v/>
      </c>
      <c r="L119" s="94">
        <v>100</v>
      </c>
      <c r="M119" s="94">
        <v>23</v>
      </c>
      <c r="N119" s="84" t="str">
        <f t="shared" si="19"/>
        <v>Reorder</v>
      </c>
    </row>
    <row r="120" spans="1:14" ht="29" x14ac:dyDescent="0.35">
      <c r="A120" s="115"/>
      <c r="B120" s="107">
        <v>200027</v>
      </c>
      <c r="C120" s="90" t="s">
        <v>168</v>
      </c>
      <c r="D120" s="91" t="s">
        <v>11</v>
      </c>
      <c r="E120" s="91"/>
      <c r="F120" s="91">
        <f>SUMIF(ComputerStoreUnitsTable[Item Description],'STOCK CONTROL SHEET'!C120,ComputerStoreUnitsTable[Running Balance])</f>
        <v>0</v>
      </c>
      <c r="G120" s="91">
        <f t="shared" si="20"/>
        <v>0</v>
      </c>
      <c r="H120" s="91">
        <v>2</v>
      </c>
      <c r="I120" s="92">
        <f t="shared" si="16"/>
        <v>2</v>
      </c>
      <c r="J120" s="91" t="str">
        <f t="shared" si="17"/>
        <v/>
      </c>
      <c r="K120" s="91">
        <f t="shared" si="18"/>
        <v>2</v>
      </c>
      <c r="L120" s="91"/>
      <c r="M120" s="91"/>
      <c r="N120" s="84" t="str">
        <f t="shared" si="19"/>
        <v>Available</v>
      </c>
    </row>
    <row r="121" spans="1:14" x14ac:dyDescent="0.35">
      <c r="A121" s="115"/>
      <c r="B121" s="108">
        <v>200004</v>
      </c>
      <c r="C121" s="93" t="s">
        <v>107</v>
      </c>
      <c r="D121" s="94" t="s">
        <v>11</v>
      </c>
      <c r="E121" s="94"/>
      <c r="F121" s="95">
        <f>SUMIF(ComputerStoreUnitsTable[Item Description],'STOCK CONTROL SHEET'!C121,ComputerStoreUnitsTable[Running Balance])</f>
        <v>0</v>
      </c>
      <c r="G121" s="94">
        <f t="shared" si="20"/>
        <v>0</v>
      </c>
      <c r="H121" s="94"/>
      <c r="I121" s="92">
        <f t="shared" si="16"/>
        <v>0</v>
      </c>
      <c r="J121" s="94" t="str">
        <f t="shared" si="17"/>
        <v/>
      </c>
      <c r="K121" s="94" t="str">
        <f t="shared" si="18"/>
        <v/>
      </c>
      <c r="L121" s="94"/>
      <c r="M121" s="94"/>
      <c r="N121" s="84" t="str">
        <f t="shared" si="19"/>
        <v>Reorder</v>
      </c>
    </row>
    <row r="122" spans="1:14" ht="29" x14ac:dyDescent="0.35">
      <c r="A122" s="115"/>
      <c r="B122" s="107">
        <v>200003</v>
      </c>
      <c r="C122" s="90" t="s">
        <v>169</v>
      </c>
      <c r="D122" s="91" t="s">
        <v>11</v>
      </c>
      <c r="E122" s="91"/>
      <c r="F122" s="91">
        <f>SUMIF(ComputerStoreUnitsTable[Item Description],'STOCK CONTROL SHEET'!C122,ComputerStoreUnitsTable[Running Balance])</f>
        <v>0</v>
      </c>
      <c r="G122" s="91">
        <f t="shared" si="20"/>
        <v>0</v>
      </c>
      <c r="H122" s="91">
        <v>5</v>
      </c>
      <c r="I122" s="92">
        <f t="shared" si="16"/>
        <v>5</v>
      </c>
      <c r="J122" s="91" t="str">
        <f t="shared" si="17"/>
        <v/>
      </c>
      <c r="K122" s="91">
        <f t="shared" si="18"/>
        <v>5</v>
      </c>
      <c r="L122" s="91">
        <v>12</v>
      </c>
      <c r="M122" s="91">
        <v>2</v>
      </c>
      <c r="N122" s="84" t="str">
        <f t="shared" si="19"/>
        <v>Available</v>
      </c>
    </row>
    <row r="123" spans="1:14" ht="29" x14ac:dyDescent="0.35">
      <c r="A123" s="115"/>
      <c r="B123" s="108">
        <v>200081</v>
      </c>
      <c r="C123" s="93" t="s">
        <v>228</v>
      </c>
      <c r="D123" s="94" t="s">
        <v>11</v>
      </c>
      <c r="E123" s="94">
        <v>9</v>
      </c>
      <c r="F123" s="95">
        <f>SUMIF(ComputerStoreUnitsTable[Item Description],'STOCK CONTROL SHEET'!C123,ComputerStoreUnitsTable[Running Balance])</f>
        <v>0</v>
      </c>
      <c r="G123" s="94">
        <f t="shared" si="20"/>
        <v>9</v>
      </c>
      <c r="H123" s="94">
        <v>9</v>
      </c>
      <c r="I123" s="92">
        <f t="shared" si="16"/>
        <v>9</v>
      </c>
      <c r="J123" s="94" t="str">
        <f t="shared" si="17"/>
        <v/>
      </c>
      <c r="K123" s="94" t="str">
        <f t="shared" si="18"/>
        <v/>
      </c>
      <c r="L123" s="94">
        <v>5</v>
      </c>
      <c r="M123" s="94">
        <v>2</v>
      </c>
      <c r="N123" s="84" t="str">
        <f t="shared" si="19"/>
        <v>Available</v>
      </c>
    </row>
    <row r="124" spans="1:14" ht="29.5" thickBot="1" x14ac:dyDescent="0.4">
      <c r="A124" s="116"/>
      <c r="B124" s="109">
        <v>200017</v>
      </c>
      <c r="C124" s="96" t="s">
        <v>108</v>
      </c>
      <c r="D124" s="97" t="s">
        <v>11</v>
      </c>
      <c r="E124" s="97"/>
      <c r="F124" s="97">
        <f>SUMIF(ComputerStoreUnitsTable[Item Description],'STOCK CONTROL SHEET'!C124,ComputerStoreUnitsTable[Running Balance])</f>
        <v>0</v>
      </c>
      <c r="G124" s="97">
        <f t="shared" si="20"/>
        <v>0</v>
      </c>
      <c r="H124" s="97">
        <v>7</v>
      </c>
      <c r="I124" s="98">
        <f t="shared" si="16"/>
        <v>7</v>
      </c>
      <c r="J124" s="97" t="str">
        <f t="shared" si="17"/>
        <v/>
      </c>
      <c r="K124" s="97">
        <f t="shared" si="18"/>
        <v>7</v>
      </c>
      <c r="L124" s="97">
        <v>5</v>
      </c>
      <c r="M124" s="97">
        <v>1</v>
      </c>
      <c r="N124" s="79" t="str">
        <f t="shared" si="19"/>
        <v>Available</v>
      </c>
    </row>
    <row r="125" spans="1:14" x14ac:dyDescent="0.35">
      <c r="A125" s="117" t="s">
        <v>191</v>
      </c>
      <c r="B125" s="110">
        <v>282022</v>
      </c>
      <c r="C125" s="86" t="s">
        <v>109</v>
      </c>
      <c r="D125" s="87" t="s">
        <v>11</v>
      </c>
      <c r="E125" s="87">
        <v>48</v>
      </c>
      <c r="F125" s="87">
        <f>SUMIF(MAINTENANCEUnitsTable[Item Description],'STOCK CONTROL SHEET'!C125,MAINTENANCEUnitsTable[Running Balance])</f>
        <v>0</v>
      </c>
      <c r="G125" s="87">
        <f t="shared" ref="G125:G141" si="21">IF(SUM(E125,F125)&lt;0,"",SUM(E125,F125))</f>
        <v>48</v>
      </c>
      <c r="H125" s="87">
        <v>34</v>
      </c>
      <c r="I125" s="88">
        <f t="shared" ref="I125:I143" si="22">IF(SUM(H125,F125)&lt;0,"",SUM(H125,F125))</f>
        <v>34</v>
      </c>
      <c r="J125" s="87">
        <f t="shared" ref="J125:J162" si="23">IF(G125-I125&lt;=0,"",G125-I125)</f>
        <v>14</v>
      </c>
      <c r="K125" s="87" t="str">
        <f t="shared" ref="K125:K162" si="24">IF(I125-G125&lt;=0,"",I125-G125)</f>
        <v/>
      </c>
      <c r="L125" s="87"/>
      <c r="M125" s="87"/>
      <c r="N125" s="89" t="str">
        <f t="shared" ref="N125:N162" si="25">IF(I125&lt;=M125,"Reorder","Available")</f>
        <v>Available</v>
      </c>
    </row>
    <row r="126" spans="1:14" x14ac:dyDescent="0.35">
      <c r="A126" s="118"/>
      <c r="B126" s="111">
        <v>282018</v>
      </c>
      <c r="C126" s="93" t="s">
        <v>110</v>
      </c>
      <c r="D126" s="94" t="s">
        <v>14</v>
      </c>
      <c r="E126" s="94">
        <v>311</v>
      </c>
      <c r="F126" s="91">
        <f>SUMIF(MAINTENANCEUnitsTable[Item Description],'STOCK CONTROL SHEET'!C126,MAINTENANCEUnitsTable[Running Balance])</f>
        <v>0</v>
      </c>
      <c r="G126" s="94">
        <f t="shared" si="21"/>
        <v>311</v>
      </c>
      <c r="H126" s="94">
        <v>336</v>
      </c>
      <c r="I126" s="92">
        <f t="shared" si="22"/>
        <v>336</v>
      </c>
      <c r="J126" s="94" t="str">
        <f t="shared" si="23"/>
        <v/>
      </c>
      <c r="K126" s="94">
        <f t="shared" si="24"/>
        <v>25</v>
      </c>
      <c r="L126" s="94"/>
      <c r="M126" s="94"/>
      <c r="N126" s="84" t="str">
        <f t="shared" si="25"/>
        <v>Available</v>
      </c>
    </row>
    <row r="127" spans="1:14" x14ac:dyDescent="0.35">
      <c r="A127" s="118"/>
      <c r="B127" s="112">
        <v>252014</v>
      </c>
      <c r="C127" s="99" t="s">
        <v>111</v>
      </c>
      <c r="D127" s="95" t="s">
        <v>11</v>
      </c>
      <c r="E127" s="95">
        <v>30</v>
      </c>
      <c r="F127" s="95">
        <f>SUMIF(MAINTENANCEUnitsTable[Item Description],'STOCK CONTROL SHEET'!C127,MAINTENANCEUnitsTable[Running Balance])</f>
        <v>0</v>
      </c>
      <c r="G127" s="95">
        <f t="shared" si="21"/>
        <v>30</v>
      </c>
      <c r="H127" s="95">
        <v>23</v>
      </c>
      <c r="I127" s="92">
        <f t="shared" si="22"/>
        <v>23</v>
      </c>
      <c r="J127" s="95">
        <f t="shared" si="23"/>
        <v>7</v>
      </c>
      <c r="K127" s="95" t="str">
        <f t="shared" si="24"/>
        <v/>
      </c>
      <c r="L127" s="95">
        <v>30</v>
      </c>
      <c r="M127" s="95">
        <v>6</v>
      </c>
      <c r="N127" s="84" t="str">
        <f t="shared" si="25"/>
        <v>Available</v>
      </c>
    </row>
    <row r="128" spans="1:14" x14ac:dyDescent="0.35">
      <c r="A128" s="118"/>
      <c r="B128" s="111">
        <v>252015</v>
      </c>
      <c r="C128" s="93" t="s">
        <v>112</v>
      </c>
      <c r="D128" s="94" t="s">
        <v>11</v>
      </c>
      <c r="E128" s="94">
        <v>24</v>
      </c>
      <c r="F128" s="91">
        <f>SUMIF(MAINTENANCEUnitsTable[Item Description],'STOCK CONTROL SHEET'!C128,MAINTENANCEUnitsTable[Running Balance])</f>
        <v>0</v>
      </c>
      <c r="G128" s="94">
        <f t="shared" si="21"/>
        <v>24</v>
      </c>
      <c r="H128" s="94">
        <v>24</v>
      </c>
      <c r="I128" s="92">
        <f t="shared" si="22"/>
        <v>24</v>
      </c>
      <c r="J128" s="94" t="str">
        <f t="shared" si="23"/>
        <v/>
      </c>
      <c r="K128" s="94" t="str">
        <f t="shared" si="24"/>
        <v/>
      </c>
      <c r="L128" s="94">
        <v>30</v>
      </c>
      <c r="M128" s="94"/>
      <c r="N128" s="84" t="str">
        <f t="shared" si="25"/>
        <v>Available</v>
      </c>
    </row>
    <row r="129" spans="1:14" x14ac:dyDescent="0.35">
      <c r="A129" s="118"/>
      <c r="B129" s="112">
        <v>252018</v>
      </c>
      <c r="C129" s="99" t="s">
        <v>225</v>
      </c>
      <c r="D129" s="95" t="s">
        <v>11</v>
      </c>
      <c r="E129" s="95">
        <v>18</v>
      </c>
      <c r="F129" s="95">
        <f>SUMIF(MAINTENANCEUnitsTable[Item Description],'STOCK CONTROL SHEET'!C129,MAINTENANCEUnitsTable[Running Balance])</f>
        <v>0</v>
      </c>
      <c r="G129" s="95">
        <f>SUM(E129,F129)</f>
        <v>18</v>
      </c>
      <c r="H129" s="95">
        <v>25</v>
      </c>
      <c r="I129" s="92">
        <f>IF(SUM(H129,F129)&lt;0,"",SUM(H129,F129))</f>
        <v>25</v>
      </c>
      <c r="J129" s="95" t="str">
        <f>IF(G129-I129&lt;=0,"",G129-I129)</f>
        <v/>
      </c>
      <c r="K129" s="95">
        <f>IF(I129-G129&lt;=0,"",I129-G129)</f>
        <v>7</v>
      </c>
      <c r="L129" s="95">
        <v>10</v>
      </c>
      <c r="M129" s="95">
        <v>4</v>
      </c>
      <c r="N129" s="84" t="str">
        <f t="shared" si="25"/>
        <v>Available</v>
      </c>
    </row>
    <row r="130" spans="1:14" x14ac:dyDescent="0.35">
      <c r="A130" s="118"/>
      <c r="B130" s="111">
        <v>100</v>
      </c>
      <c r="C130" s="93" t="s">
        <v>113</v>
      </c>
      <c r="D130" s="94" t="s">
        <v>11</v>
      </c>
      <c r="E130" s="94"/>
      <c r="F130" s="91">
        <f>SUMIF(MAINTENANCEUnitsTable[Item Description],'STOCK CONTROL SHEET'!C130,MAINTENANCEUnitsTable[Running Balance])</f>
        <v>0</v>
      </c>
      <c r="G130" s="94">
        <f t="shared" si="21"/>
        <v>0</v>
      </c>
      <c r="H130" s="94"/>
      <c r="I130" s="92">
        <f t="shared" si="22"/>
        <v>0</v>
      </c>
      <c r="J130" s="94" t="str">
        <f t="shared" si="23"/>
        <v/>
      </c>
      <c r="K130" s="94" t="str">
        <f t="shared" si="24"/>
        <v/>
      </c>
      <c r="L130" s="94"/>
      <c r="M130" s="94"/>
      <c r="N130" s="84" t="str">
        <f t="shared" si="25"/>
        <v>Reorder</v>
      </c>
    </row>
    <row r="131" spans="1:14" x14ac:dyDescent="0.35">
      <c r="A131" s="118"/>
      <c r="B131" s="112">
        <v>101</v>
      </c>
      <c r="C131" s="99" t="s">
        <v>114</v>
      </c>
      <c r="D131" s="95" t="s">
        <v>11</v>
      </c>
      <c r="E131" s="95">
        <v>1</v>
      </c>
      <c r="F131" s="95">
        <f>SUMIF(MAINTENANCEUnitsTable[Item Description],'STOCK CONTROL SHEET'!C131,MAINTENANCEUnitsTable[Running Balance])</f>
        <v>0</v>
      </c>
      <c r="G131" s="95">
        <f t="shared" si="21"/>
        <v>1</v>
      </c>
      <c r="H131" s="95">
        <v>1</v>
      </c>
      <c r="I131" s="92">
        <f t="shared" si="22"/>
        <v>1</v>
      </c>
      <c r="J131" s="95" t="str">
        <f t="shared" si="23"/>
        <v/>
      </c>
      <c r="K131" s="95" t="str">
        <f t="shared" si="24"/>
        <v/>
      </c>
      <c r="L131" s="95"/>
      <c r="M131" s="95"/>
      <c r="N131" s="84" t="str">
        <f t="shared" si="25"/>
        <v>Available</v>
      </c>
    </row>
    <row r="132" spans="1:14" x14ac:dyDescent="0.35">
      <c r="A132" s="118"/>
      <c r="B132" s="111">
        <v>252040</v>
      </c>
      <c r="C132" s="93" t="s">
        <v>115</v>
      </c>
      <c r="D132" s="94" t="s">
        <v>11</v>
      </c>
      <c r="E132" s="94">
        <v>50</v>
      </c>
      <c r="F132" s="91">
        <f>SUMIF(MAINTENANCEUnitsTable[Item Description],'STOCK CONTROL SHEET'!C132,MAINTENANCEUnitsTable[Running Balance])</f>
        <v>0</v>
      </c>
      <c r="G132" s="94">
        <f t="shared" si="21"/>
        <v>50</v>
      </c>
      <c r="H132" s="94">
        <v>50</v>
      </c>
      <c r="I132" s="92">
        <f t="shared" si="22"/>
        <v>50</v>
      </c>
      <c r="J132" s="94" t="str">
        <f t="shared" si="23"/>
        <v/>
      </c>
      <c r="K132" s="94" t="str">
        <f t="shared" si="24"/>
        <v/>
      </c>
      <c r="L132" s="94"/>
      <c r="M132" s="94"/>
      <c r="N132" s="84" t="str">
        <f t="shared" si="25"/>
        <v>Available</v>
      </c>
    </row>
    <row r="133" spans="1:14" x14ac:dyDescent="0.35">
      <c r="A133" s="118"/>
      <c r="B133" s="112">
        <v>272002</v>
      </c>
      <c r="C133" s="99" t="s">
        <v>116</v>
      </c>
      <c r="D133" s="95" t="s">
        <v>207</v>
      </c>
      <c r="E133" s="95">
        <v>277</v>
      </c>
      <c r="F133" s="95">
        <f>SUMIF(MAINTENANCEUnitsTable[Item Description],'STOCK CONTROL SHEET'!C133,MAINTENANCEUnitsTable[Running Balance])</f>
        <v>0</v>
      </c>
      <c r="G133" s="95">
        <f t="shared" si="21"/>
        <v>277</v>
      </c>
      <c r="H133" s="95">
        <v>100</v>
      </c>
      <c r="I133" s="92">
        <f t="shared" si="22"/>
        <v>100</v>
      </c>
      <c r="J133" s="95">
        <f t="shared" si="23"/>
        <v>177</v>
      </c>
      <c r="K133" s="95" t="str">
        <f t="shared" si="24"/>
        <v/>
      </c>
      <c r="L133" s="95">
        <v>750</v>
      </c>
      <c r="M133" s="95"/>
      <c r="N133" s="84" t="str">
        <f t="shared" si="25"/>
        <v>Available</v>
      </c>
    </row>
    <row r="134" spans="1:14" x14ac:dyDescent="0.35">
      <c r="A134" s="118"/>
      <c r="B134" s="111">
        <v>252028</v>
      </c>
      <c r="C134" s="93" t="s">
        <v>117</v>
      </c>
      <c r="D134" s="94" t="s">
        <v>11</v>
      </c>
      <c r="E134" s="94"/>
      <c r="F134" s="91">
        <f>SUMIF(MAINTENANCEUnitsTable[Item Description],'STOCK CONTROL SHEET'!C134,MAINTENANCEUnitsTable[Running Balance])</f>
        <v>0</v>
      </c>
      <c r="G134" s="94">
        <f t="shared" si="21"/>
        <v>0</v>
      </c>
      <c r="H134" s="94"/>
      <c r="I134" s="92">
        <f t="shared" si="22"/>
        <v>0</v>
      </c>
      <c r="J134" s="94" t="str">
        <f t="shared" si="23"/>
        <v/>
      </c>
      <c r="K134" s="94" t="str">
        <f t="shared" si="24"/>
        <v/>
      </c>
      <c r="L134" s="94"/>
      <c r="M134" s="94"/>
      <c r="N134" s="84" t="str">
        <f t="shared" si="25"/>
        <v>Reorder</v>
      </c>
    </row>
    <row r="135" spans="1:14" x14ac:dyDescent="0.35">
      <c r="A135" s="118"/>
      <c r="B135" s="112">
        <v>105</v>
      </c>
      <c r="C135" s="99" t="s">
        <v>118</v>
      </c>
      <c r="D135" s="95" t="s">
        <v>11</v>
      </c>
      <c r="E135" s="95">
        <v>1</v>
      </c>
      <c r="F135" s="95">
        <f>SUMIF(MAINTENANCEUnitsTable[Item Description],'STOCK CONTROL SHEET'!C135,MAINTENANCEUnitsTable[Running Balance])</f>
        <v>-20</v>
      </c>
      <c r="G135" s="95" t="str">
        <f t="shared" si="21"/>
        <v/>
      </c>
      <c r="H135" s="95">
        <v>1</v>
      </c>
      <c r="I135" s="92" t="str">
        <f t="shared" si="22"/>
        <v/>
      </c>
      <c r="J135" s="95" t="e">
        <f t="shared" si="23"/>
        <v>#VALUE!</v>
      </c>
      <c r="K135" s="95" t="e">
        <f t="shared" si="24"/>
        <v>#VALUE!</v>
      </c>
      <c r="L135" s="95"/>
      <c r="M135" s="95"/>
      <c r="N135" s="84" t="str">
        <f t="shared" si="25"/>
        <v>Reorder</v>
      </c>
    </row>
    <row r="136" spans="1:14" x14ac:dyDescent="0.35">
      <c r="A136" s="118"/>
      <c r="B136" s="111">
        <v>282030</v>
      </c>
      <c r="C136" s="93" t="s">
        <v>119</v>
      </c>
      <c r="D136" s="94" t="s">
        <v>11</v>
      </c>
      <c r="E136" s="94"/>
      <c r="F136" s="91">
        <f>SUMIF(MAINTENANCEUnitsTable[Item Description],'STOCK CONTROL SHEET'!C136,MAINTENANCEUnitsTable[Running Balance])</f>
        <v>0</v>
      </c>
      <c r="G136" s="94">
        <f t="shared" si="21"/>
        <v>0</v>
      </c>
      <c r="H136" s="94"/>
      <c r="I136" s="92">
        <f t="shared" si="22"/>
        <v>0</v>
      </c>
      <c r="J136" s="94" t="str">
        <f t="shared" si="23"/>
        <v/>
      </c>
      <c r="K136" s="94" t="str">
        <f t="shared" si="24"/>
        <v/>
      </c>
      <c r="L136" s="94"/>
      <c r="M136" s="94"/>
      <c r="N136" s="84" t="str">
        <f t="shared" si="25"/>
        <v>Reorder</v>
      </c>
    </row>
    <row r="137" spans="1:14" ht="29" x14ac:dyDescent="0.35">
      <c r="A137" s="118"/>
      <c r="B137" s="112">
        <v>252026</v>
      </c>
      <c r="C137" s="99" t="s">
        <v>226</v>
      </c>
      <c r="D137" s="95" t="s">
        <v>11</v>
      </c>
      <c r="E137" s="95"/>
      <c r="F137" s="95">
        <f>SUMIF(MAINTENANCEUnitsTable[Item Description],'STOCK CONTROL SHEET'!C137,MAINTENANCEUnitsTable[Running Balance])</f>
        <v>0</v>
      </c>
      <c r="G137" s="95">
        <f>SUM(E137,F137)</f>
        <v>0</v>
      </c>
      <c r="H137" s="95">
        <v>0</v>
      </c>
      <c r="I137" s="92">
        <f>IF(SUM(H137,F137)&lt;0,"",SUM(H137,F137))</f>
        <v>0</v>
      </c>
      <c r="J137" s="95" t="str">
        <f>IF(G137-I137&lt;=0,"",G137-I137)</f>
        <v/>
      </c>
      <c r="K137" s="95" t="str">
        <f>IF(I137-G137&lt;=0,"",I137-G137)</f>
        <v/>
      </c>
      <c r="L137" s="95">
        <v>20</v>
      </c>
      <c r="M137" s="95">
        <v>10</v>
      </c>
      <c r="N137" s="84" t="str">
        <f t="shared" si="25"/>
        <v>Reorder</v>
      </c>
    </row>
    <row r="138" spans="1:14" x14ac:dyDescent="0.35">
      <c r="A138" s="118"/>
      <c r="B138" s="111">
        <v>252001</v>
      </c>
      <c r="C138" s="93" t="s">
        <v>120</v>
      </c>
      <c r="D138" s="94" t="s">
        <v>11</v>
      </c>
      <c r="E138" s="94"/>
      <c r="F138" s="91">
        <f>SUMIF(MAINTENANCEUnitsTable[Item Description],'STOCK CONTROL SHEET'!C138,MAINTENANCEUnitsTable[Running Balance])</f>
        <v>0</v>
      </c>
      <c r="G138" s="94">
        <f t="shared" si="21"/>
        <v>0</v>
      </c>
      <c r="H138" s="94"/>
      <c r="I138" s="92">
        <f t="shared" si="22"/>
        <v>0</v>
      </c>
      <c r="J138" s="94" t="str">
        <f t="shared" si="23"/>
        <v/>
      </c>
      <c r="K138" s="94" t="str">
        <f t="shared" si="24"/>
        <v/>
      </c>
      <c r="L138" s="94">
        <v>12</v>
      </c>
      <c r="M138" s="94">
        <v>3</v>
      </c>
      <c r="N138" s="84" t="str">
        <f t="shared" si="25"/>
        <v>Reorder</v>
      </c>
    </row>
    <row r="139" spans="1:14" x14ac:dyDescent="0.35">
      <c r="A139" s="118"/>
      <c r="B139" s="112">
        <v>108</v>
      </c>
      <c r="C139" s="99" t="s">
        <v>121</v>
      </c>
      <c r="D139" s="95" t="s">
        <v>11</v>
      </c>
      <c r="E139" s="95">
        <v>6</v>
      </c>
      <c r="F139" s="95">
        <f>SUMIF(MAINTENANCEUnitsTable[Item Description],'STOCK CONTROL SHEET'!C139,MAINTENANCEUnitsTable[Running Balance])</f>
        <v>0</v>
      </c>
      <c r="G139" s="95">
        <f t="shared" si="21"/>
        <v>6</v>
      </c>
      <c r="H139" s="95">
        <v>6</v>
      </c>
      <c r="I139" s="92">
        <f t="shared" si="22"/>
        <v>6</v>
      </c>
      <c r="J139" s="95" t="str">
        <f t="shared" si="23"/>
        <v/>
      </c>
      <c r="K139" s="95" t="str">
        <f t="shared" si="24"/>
        <v/>
      </c>
      <c r="L139" s="95"/>
      <c r="M139" s="95"/>
      <c r="N139" s="84" t="str">
        <f t="shared" si="25"/>
        <v>Available</v>
      </c>
    </row>
    <row r="140" spans="1:14" x14ac:dyDescent="0.35">
      <c r="A140" s="118"/>
      <c r="B140" s="111">
        <v>252042</v>
      </c>
      <c r="C140" s="93" t="s">
        <v>122</v>
      </c>
      <c r="D140" s="94" t="s">
        <v>11</v>
      </c>
      <c r="E140" s="94">
        <v>300</v>
      </c>
      <c r="F140" s="91">
        <f>SUMIF(MAINTENANCEUnitsTable[Item Description],'STOCK CONTROL SHEET'!C140,MAINTENANCEUnitsTable[Running Balance])</f>
        <v>0</v>
      </c>
      <c r="G140" s="94">
        <f t="shared" si="21"/>
        <v>300</v>
      </c>
      <c r="H140" s="94">
        <v>475</v>
      </c>
      <c r="I140" s="92">
        <f t="shared" si="22"/>
        <v>475</v>
      </c>
      <c r="J140" s="94" t="str">
        <f t="shared" si="23"/>
        <v/>
      </c>
      <c r="K140" s="94">
        <f t="shared" si="24"/>
        <v>175</v>
      </c>
      <c r="L140" s="94">
        <v>600</v>
      </c>
      <c r="M140" s="94">
        <v>25</v>
      </c>
      <c r="N140" s="84" t="str">
        <f t="shared" si="25"/>
        <v>Available</v>
      </c>
    </row>
    <row r="141" spans="1:14" ht="29" x14ac:dyDescent="0.35">
      <c r="A141" s="118"/>
      <c r="B141" s="112">
        <v>252006</v>
      </c>
      <c r="C141" s="99" t="s">
        <v>123</v>
      </c>
      <c r="D141" s="95" t="s">
        <v>11</v>
      </c>
      <c r="E141" s="95">
        <v>150</v>
      </c>
      <c r="F141" s="95">
        <f>SUMIF(MAINTENANCEUnitsTable[Item Description],'STOCK CONTROL SHEET'!C141,MAINTENANCEUnitsTable[Running Balance])</f>
        <v>0</v>
      </c>
      <c r="G141" s="95">
        <f t="shared" si="21"/>
        <v>150</v>
      </c>
      <c r="H141" s="95">
        <v>276</v>
      </c>
      <c r="I141" s="92">
        <f t="shared" si="22"/>
        <v>276</v>
      </c>
      <c r="J141" s="95" t="str">
        <f t="shared" si="23"/>
        <v/>
      </c>
      <c r="K141" s="95">
        <f t="shared" si="24"/>
        <v>126</v>
      </c>
      <c r="L141" s="95">
        <v>200</v>
      </c>
      <c r="M141" s="95">
        <v>25</v>
      </c>
      <c r="N141" s="84" t="str">
        <f t="shared" si="25"/>
        <v>Available</v>
      </c>
    </row>
    <row r="142" spans="1:14" x14ac:dyDescent="0.35">
      <c r="A142" s="118"/>
      <c r="B142" s="111">
        <v>282040</v>
      </c>
      <c r="C142" s="93" t="s">
        <v>124</v>
      </c>
      <c r="D142" s="94" t="s">
        <v>11</v>
      </c>
      <c r="E142" s="94">
        <v>335</v>
      </c>
      <c r="F142" s="91">
        <f>SUMIF(MAINTENANCEUnitsTable[Item Description],'STOCK CONTROL SHEET'!C142,MAINTENANCEUnitsTable[Running Balance])</f>
        <v>0</v>
      </c>
      <c r="G142" s="94">
        <f t="shared" ref="G142:G172" si="26">IF(SUM(E142,F142)&lt;0,"",SUM(E142,F142))</f>
        <v>335</v>
      </c>
      <c r="H142" s="94">
        <v>392</v>
      </c>
      <c r="I142" s="92">
        <f t="shared" si="22"/>
        <v>392</v>
      </c>
      <c r="J142" s="94" t="str">
        <f t="shared" si="23"/>
        <v/>
      </c>
      <c r="K142" s="94">
        <f t="shared" si="24"/>
        <v>57</v>
      </c>
      <c r="L142" s="94">
        <v>400</v>
      </c>
      <c r="M142" s="94">
        <v>48</v>
      </c>
      <c r="N142" s="84" t="str">
        <f t="shared" si="25"/>
        <v>Available</v>
      </c>
    </row>
    <row r="143" spans="1:14" ht="29" x14ac:dyDescent="0.35">
      <c r="A143" s="118"/>
      <c r="B143" s="112">
        <v>252004</v>
      </c>
      <c r="C143" s="99" t="s">
        <v>125</v>
      </c>
      <c r="D143" s="95" t="s">
        <v>11</v>
      </c>
      <c r="E143" s="95">
        <v>21</v>
      </c>
      <c r="F143" s="95">
        <f>SUMIF(MAINTENANCEUnitsTable[Item Description],'STOCK CONTROL SHEET'!C143,MAINTENANCEUnitsTable[Running Balance])</f>
        <v>0</v>
      </c>
      <c r="G143" s="95">
        <f t="shared" si="26"/>
        <v>21</v>
      </c>
      <c r="H143" s="95">
        <v>382</v>
      </c>
      <c r="I143" s="92">
        <f t="shared" si="22"/>
        <v>382</v>
      </c>
      <c r="J143" s="95" t="str">
        <f t="shared" si="23"/>
        <v/>
      </c>
      <c r="K143" s="95">
        <f t="shared" si="24"/>
        <v>361</v>
      </c>
      <c r="L143" s="95">
        <v>200</v>
      </c>
      <c r="M143" s="95">
        <v>48</v>
      </c>
      <c r="N143" s="84" t="str">
        <f t="shared" si="25"/>
        <v>Available</v>
      </c>
    </row>
    <row r="144" spans="1:14" ht="29" x14ac:dyDescent="0.35">
      <c r="A144" s="118"/>
      <c r="B144" s="111">
        <v>113</v>
      </c>
      <c r="C144" s="93" t="s">
        <v>126</v>
      </c>
      <c r="D144" s="94" t="s">
        <v>11</v>
      </c>
      <c r="E144" s="94">
        <v>23</v>
      </c>
      <c r="F144" s="91">
        <f>SUMIF(MAINTENANCEUnitsTable[Item Description],'STOCK CONTROL SHEET'!C144,MAINTENANCEUnitsTable[Running Balance])</f>
        <v>0</v>
      </c>
      <c r="G144" s="94">
        <f t="shared" si="26"/>
        <v>23</v>
      </c>
      <c r="H144" s="94">
        <v>15</v>
      </c>
      <c r="I144" s="92">
        <f t="shared" ref="I144:I172" si="27">IF(SUM(H144,F144)&lt;0,"",SUM(H144,F144))</f>
        <v>15</v>
      </c>
      <c r="J144" s="94">
        <f t="shared" si="23"/>
        <v>8</v>
      </c>
      <c r="K144" s="94" t="str">
        <f t="shared" si="24"/>
        <v/>
      </c>
      <c r="L144" s="94">
        <v>30</v>
      </c>
      <c r="M144" s="94"/>
      <c r="N144" s="84" t="str">
        <f t="shared" si="25"/>
        <v>Available</v>
      </c>
    </row>
    <row r="145" spans="1:14" ht="29" x14ac:dyDescent="0.35">
      <c r="A145" s="118"/>
      <c r="B145" s="112">
        <v>252005</v>
      </c>
      <c r="C145" s="99" t="s">
        <v>127</v>
      </c>
      <c r="D145" s="95" t="s">
        <v>11</v>
      </c>
      <c r="E145" s="95">
        <v>20</v>
      </c>
      <c r="F145" s="95">
        <f>SUMIF(MAINTENANCEUnitsTable[Item Description],'STOCK CONTROL SHEET'!C145,MAINTENANCEUnitsTable[Running Balance])</f>
        <v>0</v>
      </c>
      <c r="G145" s="95">
        <f t="shared" si="26"/>
        <v>20</v>
      </c>
      <c r="H145" s="95">
        <v>18</v>
      </c>
      <c r="I145" s="92">
        <f t="shared" si="27"/>
        <v>18</v>
      </c>
      <c r="J145" s="95">
        <f t="shared" si="23"/>
        <v>2</v>
      </c>
      <c r="K145" s="95" t="str">
        <f t="shared" si="24"/>
        <v/>
      </c>
      <c r="L145" s="95">
        <v>25</v>
      </c>
      <c r="M145" s="95">
        <v>6</v>
      </c>
      <c r="N145" s="84" t="str">
        <f t="shared" si="25"/>
        <v>Available</v>
      </c>
    </row>
    <row r="146" spans="1:14" ht="29" x14ac:dyDescent="0.35">
      <c r="A146" s="118"/>
      <c r="B146" s="111">
        <v>115</v>
      </c>
      <c r="C146" s="93" t="s">
        <v>221</v>
      </c>
      <c r="D146" s="94" t="s">
        <v>11</v>
      </c>
      <c r="E146" s="94">
        <v>4</v>
      </c>
      <c r="F146" s="91">
        <f>SUMIF(MAINTENANCEUnitsTable[Item Description],'STOCK CONTROL SHEET'!C146,MAINTENANCEUnitsTable[Running Balance])</f>
        <v>0</v>
      </c>
      <c r="G146" s="94">
        <f t="shared" si="26"/>
        <v>4</v>
      </c>
      <c r="H146" s="94">
        <v>4</v>
      </c>
      <c r="I146" s="92">
        <f t="shared" si="27"/>
        <v>4</v>
      </c>
      <c r="J146" s="94" t="str">
        <f t="shared" si="23"/>
        <v/>
      </c>
      <c r="K146" s="94" t="str">
        <f t="shared" si="24"/>
        <v/>
      </c>
      <c r="L146" s="94"/>
      <c r="M146" s="94"/>
      <c r="N146" s="84" t="str">
        <f t="shared" si="25"/>
        <v>Available</v>
      </c>
    </row>
    <row r="147" spans="1:14" x14ac:dyDescent="0.35">
      <c r="A147" s="118"/>
      <c r="B147" s="112">
        <v>262012</v>
      </c>
      <c r="C147" s="99" t="s">
        <v>128</v>
      </c>
      <c r="D147" s="95" t="s">
        <v>11</v>
      </c>
      <c r="E147" s="95"/>
      <c r="F147" s="95">
        <f>SUMIF(MAINTENANCEUnitsTable[Item Description],'STOCK CONTROL SHEET'!C147,MAINTENANCEUnitsTable[Running Balance])</f>
        <v>0</v>
      </c>
      <c r="G147" s="95">
        <f t="shared" si="26"/>
        <v>0</v>
      </c>
      <c r="H147" s="95"/>
      <c r="I147" s="92">
        <f t="shared" si="27"/>
        <v>0</v>
      </c>
      <c r="J147" s="95" t="str">
        <f t="shared" si="23"/>
        <v/>
      </c>
      <c r="K147" s="95" t="str">
        <f t="shared" si="24"/>
        <v/>
      </c>
      <c r="L147" s="95">
        <v>50</v>
      </c>
      <c r="M147" s="95">
        <v>12</v>
      </c>
      <c r="N147" s="84" t="str">
        <f t="shared" si="25"/>
        <v>Reorder</v>
      </c>
    </row>
    <row r="148" spans="1:14" x14ac:dyDescent="0.35">
      <c r="A148" s="118"/>
      <c r="B148" s="111">
        <v>282017</v>
      </c>
      <c r="C148" s="93" t="s">
        <v>204</v>
      </c>
      <c r="D148" s="94" t="s">
        <v>16</v>
      </c>
      <c r="E148" s="94">
        <v>13</v>
      </c>
      <c r="F148" s="91">
        <f>SUMIF(MAINTENANCEUnitsTable[Item Description],'STOCK CONTROL SHEET'!C148,MAINTENANCEUnitsTable[Running Balance])</f>
        <v>0</v>
      </c>
      <c r="G148" s="94">
        <f t="shared" si="26"/>
        <v>13</v>
      </c>
      <c r="H148" s="94">
        <v>3</v>
      </c>
      <c r="I148" s="92">
        <f>IF(SUM(H148,F148)&lt;0,"",SUM(H148,F148))</f>
        <v>3</v>
      </c>
      <c r="J148" s="94">
        <f>IF(G148-I148&lt;=0,"",G148-I148)</f>
        <v>10</v>
      </c>
      <c r="K148" s="94" t="str">
        <f>IF(I148-G148&lt;=0,"",I148-G148)</f>
        <v/>
      </c>
      <c r="L148" s="94"/>
      <c r="M148" s="94">
        <v>5</v>
      </c>
      <c r="N148" s="84" t="str">
        <f t="shared" si="25"/>
        <v>Reorder</v>
      </c>
    </row>
    <row r="149" spans="1:14" x14ac:dyDescent="0.35">
      <c r="A149" s="118"/>
      <c r="B149" s="112">
        <v>282035</v>
      </c>
      <c r="C149" s="99" t="s">
        <v>209</v>
      </c>
      <c r="D149" s="95" t="s">
        <v>16</v>
      </c>
      <c r="E149" s="95">
        <v>29</v>
      </c>
      <c r="F149" s="95">
        <f>SUMIF(MAINTENANCEUnitsTable[Item Description],'STOCK CONTROL SHEET'!C149,MAINTENANCEUnitsTable[Running Balance])</f>
        <v>0</v>
      </c>
      <c r="G149" s="95">
        <f t="shared" si="26"/>
        <v>29</v>
      </c>
      <c r="H149" s="95">
        <v>27</v>
      </c>
      <c r="I149" s="92">
        <f>IF(SUM(H149,F149)&lt;0,"",SUM(H149,F149))</f>
        <v>27</v>
      </c>
      <c r="J149" s="95">
        <f>IF(G149-I149&lt;=0,"",G149-I149)</f>
        <v>2</v>
      </c>
      <c r="K149" s="95" t="str">
        <f>IF(I149-G149&lt;=0,"",I149-G149)</f>
        <v/>
      </c>
      <c r="L149" s="95">
        <v>50</v>
      </c>
      <c r="M149" s="95">
        <v>12</v>
      </c>
      <c r="N149" s="84" t="str">
        <f t="shared" si="25"/>
        <v>Available</v>
      </c>
    </row>
    <row r="150" spans="1:14" x14ac:dyDescent="0.35">
      <c r="A150" s="118"/>
      <c r="B150" s="111">
        <v>282026</v>
      </c>
      <c r="C150" s="93" t="s">
        <v>129</v>
      </c>
      <c r="D150" s="94" t="s">
        <v>11</v>
      </c>
      <c r="E150" s="94">
        <v>45</v>
      </c>
      <c r="F150" s="91">
        <f>SUMIF(MAINTENANCEUnitsTable[Item Description],'STOCK CONTROL SHEET'!C150,MAINTENANCEUnitsTable[Running Balance])</f>
        <v>0</v>
      </c>
      <c r="G150" s="94">
        <f t="shared" si="26"/>
        <v>45</v>
      </c>
      <c r="H150" s="94">
        <v>38</v>
      </c>
      <c r="I150" s="92">
        <f t="shared" si="27"/>
        <v>38</v>
      </c>
      <c r="J150" s="94">
        <f t="shared" si="23"/>
        <v>7</v>
      </c>
      <c r="K150" s="94" t="str">
        <f t="shared" si="24"/>
        <v/>
      </c>
      <c r="L150" s="94">
        <v>100</v>
      </c>
      <c r="M150" s="94">
        <v>30</v>
      </c>
      <c r="N150" s="84" t="str">
        <f t="shared" si="25"/>
        <v>Available</v>
      </c>
    </row>
    <row r="151" spans="1:14" x14ac:dyDescent="0.35">
      <c r="A151" s="118"/>
      <c r="B151" s="112">
        <v>272003</v>
      </c>
      <c r="C151" s="99" t="s">
        <v>130</v>
      </c>
      <c r="D151" s="95" t="s">
        <v>14</v>
      </c>
      <c r="E151" s="95">
        <v>67</v>
      </c>
      <c r="F151" s="95">
        <f>SUMIF(MAINTENANCEUnitsTable[Item Description],'STOCK CONTROL SHEET'!C151,MAINTENANCEUnitsTable[Running Balance])</f>
        <v>0</v>
      </c>
      <c r="G151" s="95">
        <f t="shared" si="26"/>
        <v>67</v>
      </c>
      <c r="H151" s="95">
        <v>72</v>
      </c>
      <c r="I151" s="92">
        <f t="shared" si="27"/>
        <v>72</v>
      </c>
      <c r="J151" s="95" t="str">
        <f t="shared" si="23"/>
        <v/>
      </c>
      <c r="K151" s="95">
        <f t="shared" si="24"/>
        <v>5</v>
      </c>
      <c r="L151" s="95">
        <v>100</v>
      </c>
      <c r="M151" s="95">
        <v>25</v>
      </c>
      <c r="N151" s="84" t="str">
        <f t="shared" si="25"/>
        <v>Available</v>
      </c>
    </row>
    <row r="152" spans="1:14" x14ac:dyDescent="0.35">
      <c r="A152" s="118"/>
      <c r="B152" s="111">
        <v>282024</v>
      </c>
      <c r="C152" s="93" t="s">
        <v>131</v>
      </c>
      <c r="D152" s="94" t="s">
        <v>11</v>
      </c>
      <c r="E152" s="94">
        <v>75</v>
      </c>
      <c r="F152" s="91">
        <f>SUMIF(MAINTENANCEUnitsTable[Item Description],'STOCK CONTROL SHEET'!C152,MAINTENANCEUnitsTable[Running Balance])</f>
        <v>0</v>
      </c>
      <c r="G152" s="94">
        <f t="shared" si="26"/>
        <v>75</v>
      </c>
      <c r="H152" s="94">
        <v>72</v>
      </c>
      <c r="I152" s="92">
        <f t="shared" si="27"/>
        <v>72</v>
      </c>
      <c r="J152" s="94">
        <f t="shared" si="23"/>
        <v>3</v>
      </c>
      <c r="K152" s="94" t="str">
        <f t="shared" si="24"/>
        <v/>
      </c>
      <c r="L152" s="94">
        <v>150</v>
      </c>
      <c r="M152" s="94">
        <v>38</v>
      </c>
      <c r="N152" s="84" t="str">
        <f t="shared" si="25"/>
        <v>Available</v>
      </c>
    </row>
    <row r="153" spans="1:14" x14ac:dyDescent="0.35">
      <c r="A153" s="118"/>
      <c r="B153" s="112">
        <v>120</v>
      </c>
      <c r="C153" s="99" t="s">
        <v>132</v>
      </c>
      <c r="D153" s="95" t="s">
        <v>11</v>
      </c>
      <c r="E153" s="95"/>
      <c r="F153" s="95">
        <f>SUMIF(MAINTENANCEUnitsTable[Item Description],'STOCK CONTROL SHEET'!C153,MAINTENANCEUnitsTable[Running Balance])</f>
        <v>0</v>
      </c>
      <c r="G153" s="95">
        <f t="shared" si="26"/>
        <v>0</v>
      </c>
      <c r="H153" s="95"/>
      <c r="I153" s="92">
        <f t="shared" si="27"/>
        <v>0</v>
      </c>
      <c r="J153" s="95" t="str">
        <f t="shared" si="23"/>
        <v/>
      </c>
      <c r="K153" s="95" t="str">
        <f t="shared" si="24"/>
        <v/>
      </c>
      <c r="L153" s="95">
        <v>21</v>
      </c>
      <c r="M153" s="95"/>
      <c r="N153" s="84" t="str">
        <f t="shared" si="25"/>
        <v>Reorder</v>
      </c>
    </row>
    <row r="154" spans="1:14" x14ac:dyDescent="0.35">
      <c r="A154" s="118"/>
      <c r="B154" s="111">
        <v>252000</v>
      </c>
      <c r="C154" s="93" t="s">
        <v>133</v>
      </c>
      <c r="D154" s="94" t="s">
        <v>11</v>
      </c>
      <c r="E154" s="94">
        <v>33</v>
      </c>
      <c r="F154" s="91">
        <f>SUMIF(MAINTENANCEUnitsTable[Item Description],'STOCK CONTROL SHEET'!C154,MAINTENANCEUnitsTable[Running Balance])</f>
        <v>0</v>
      </c>
      <c r="G154" s="94">
        <f t="shared" si="26"/>
        <v>33</v>
      </c>
      <c r="H154" s="94">
        <v>28</v>
      </c>
      <c r="I154" s="92">
        <f t="shared" si="27"/>
        <v>28</v>
      </c>
      <c r="J154" s="94">
        <f t="shared" si="23"/>
        <v>5</v>
      </c>
      <c r="K154" s="94" t="str">
        <f t="shared" si="24"/>
        <v/>
      </c>
      <c r="L154" s="94">
        <v>30</v>
      </c>
      <c r="M154" s="94">
        <v>10</v>
      </c>
      <c r="N154" s="84" t="str">
        <f t="shared" si="25"/>
        <v>Available</v>
      </c>
    </row>
    <row r="155" spans="1:14" x14ac:dyDescent="0.35">
      <c r="A155" s="118"/>
      <c r="B155" s="112">
        <v>282015</v>
      </c>
      <c r="C155" s="99" t="s">
        <v>134</v>
      </c>
      <c r="D155" s="95" t="s">
        <v>11</v>
      </c>
      <c r="E155" s="95">
        <v>40</v>
      </c>
      <c r="F155" s="95">
        <f>SUMIF(MAINTENANCEUnitsTable[Item Description],'STOCK CONTROL SHEET'!C155,MAINTENANCEUnitsTable[Running Balance])</f>
        <v>0</v>
      </c>
      <c r="G155" s="95">
        <f t="shared" si="26"/>
        <v>40</v>
      </c>
      <c r="H155" s="95">
        <v>38</v>
      </c>
      <c r="I155" s="92">
        <f t="shared" si="27"/>
        <v>38</v>
      </c>
      <c r="J155" s="95">
        <f t="shared" si="23"/>
        <v>2</v>
      </c>
      <c r="K155" s="95" t="str">
        <f t="shared" si="24"/>
        <v/>
      </c>
      <c r="L155" s="95">
        <v>120</v>
      </c>
      <c r="M155" s="95">
        <v>30</v>
      </c>
      <c r="N155" s="84" t="str">
        <f t="shared" si="25"/>
        <v>Available</v>
      </c>
    </row>
    <row r="156" spans="1:14" x14ac:dyDescent="0.35">
      <c r="A156" s="118"/>
      <c r="B156" s="111">
        <v>282029</v>
      </c>
      <c r="C156" s="93" t="s">
        <v>135</v>
      </c>
      <c r="D156" s="94" t="s">
        <v>11</v>
      </c>
      <c r="E156" s="94">
        <v>28</v>
      </c>
      <c r="F156" s="91">
        <f>SUMIF(MAINTENANCEUnitsTable[Item Description],'STOCK CONTROL SHEET'!C156,MAINTENANCEUnitsTable[Running Balance])</f>
        <v>0</v>
      </c>
      <c r="G156" s="94">
        <f t="shared" si="26"/>
        <v>28</v>
      </c>
      <c r="H156" s="94">
        <v>7</v>
      </c>
      <c r="I156" s="92">
        <f t="shared" si="27"/>
        <v>7</v>
      </c>
      <c r="J156" s="94">
        <f t="shared" si="23"/>
        <v>21</v>
      </c>
      <c r="K156" s="94" t="str">
        <f t="shared" si="24"/>
        <v/>
      </c>
      <c r="L156" s="94">
        <v>100</v>
      </c>
      <c r="M156" s="94">
        <v>25</v>
      </c>
      <c r="N156" s="84" t="str">
        <f t="shared" si="25"/>
        <v>Reorder</v>
      </c>
    </row>
    <row r="157" spans="1:14" x14ac:dyDescent="0.35">
      <c r="A157" s="118"/>
      <c r="B157" s="112">
        <v>252041</v>
      </c>
      <c r="C157" s="99" t="s">
        <v>136</v>
      </c>
      <c r="D157" s="95" t="s">
        <v>11</v>
      </c>
      <c r="E157" s="95"/>
      <c r="F157" s="95">
        <f>SUMIF(MAINTENANCEUnitsTable[Item Description],'STOCK CONTROL SHEET'!C157,MAINTENANCEUnitsTable[Running Balance])</f>
        <v>0</v>
      </c>
      <c r="G157" s="95">
        <f t="shared" si="26"/>
        <v>0</v>
      </c>
      <c r="H157" s="95"/>
      <c r="I157" s="92">
        <f t="shared" si="27"/>
        <v>0</v>
      </c>
      <c r="J157" s="95" t="str">
        <f t="shared" si="23"/>
        <v/>
      </c>
      <c r="K157" s="95" t="str">
        <f t="shared" si="24"/>
        <v/>
      </c>
      <c r="L157" s="95">
        <v>200</v>
      </c>
      <c r="M157" s="95">
        <v>40</v>
      </c>
      <c r="N157" s="84" t="str">
        <f t="shared" si="25"/>
        <v>Reorder</v>
      </c>
    </row>
    <row r="158" spans="1:14" x14ac:dyDescent="0.35">
      <c r="A158" s="118"/>
      <c r="B158" s="111">
        <v>282019</v>
      </c>
      <c r="C158" s="93" t="s">
        <v>137</v>
      </c>
      <c r="D158" s="94" t="s">
        <v>11</v>
      </c>
      <c r="E158" s="94">
        <v>65</v>
      </c>
      <c r="F158" s="91">
        <f>SUMIF(MAINTENANCEUnitsTable[Item Description],'STOCK CONTROL SHEET'!C158,MAINTENANCEUnitsTable[Running Balance])</f>
        <v>0</v>
      </c>
      <c r="G158" s="94">
        <f t="shared" si="26"/>
        <v>65</v>
      </c>
      <c r="H158" s="94">
        <v>33</v>
      </c>
      <c r="I158" s="92">
        <f t="shared" si="27"/>
        <v>33</v>
      </c>
      <c r="J158" s="94">
        <f t="shared" si="23"/>
        <v>32</v>
      </c>
      <c r="K158" s="94" t="str">
        <f t="shared" si="24"/>
        <v/>
      </c>
      <c r="L158" s="94">
        <v>150</v>
      </c>
      <c r="M158" s="94">
        <v>38</v>
      </c>
      <c r="N158" s="84" t="str">
        <f t="shared" si="25"/>
        <v>Reorder</v>
      </c>
    </row>
    <row r="159" spans="1:14" x14ac:dyDescent="0.35">
      <c r="A159" s="118"/>
      <c r="B159" s="112">
        <v>126</v>
      </c>
      <c r="C159" s="99" t="s">
        <v>138</v>
      </c>
      <c r="D159" s="95" t="s">
        <v>11</v>
      </c>
      <c r="E159" s="95">
        <v>24</v>
      </c>
      <c r="F159" s="95">
        <f>SUMIF(MAINTENANCEUnitsTable[Item Description],'STOCK CONTROL SHEET'!C159,MAINTENANCEUnitsTable[Running Balance])</f>
        <v>0</v>
      </c>
      <c r="G159" s="95">
        <f t="shared" si="26"/>
        <v>24</v>
      </c>
      <c r="H159" s="95">
        <v>22</v>
      </c>
      <c r="I159" s="92">
        <f t="shared" si="27"/>
        <v>22</v>
      </c>
      <c r="J159" s="95">
        <f t="shared" si="23"/>
        <v>2</v>
      </c>
      <c r="K159" s="95" t="str">
        <f t="shared" si="24"/>
        <v/>
      </c>
      <c r="L159" s="95"/>
      <c r="M159" s="95"/>
      <c r="N159" s="84" t="str">
        <f t="shared" si="25"/>
        <v>Available</v>
      </c>
    </row>
    <row r="160" spans="1:14" x14ac:dyDescent="0.35">
      <c r="A160" s="118"/>
      <c r="B160" s="111">
        <v>282020</v>
      </c>
      <c r="C160" s="93" t="s">
        <v>139</v>
      </c>
      <c r="D160" s="94" t="s">
        <v>11</v>
      </c>
      <c r="E160" s="94">
        <v>75</v>
      </c>
      <c r="F160" s="91">
        <f>SUMIF(MAINTENANCEUnitsTable[Item Description],'STOCK CONTROL SHEET'!C160,MAINTENANCEUnitsTable[Running Balance])</f>
        <v>0</v>
      </c>
      <c r="G160" s="94">
        <f t="shared" si="26"/>
        <v>75</v>
      </c>
      <c r="H160" s="94">
        <v>55</v>
      </c>
      <c r="I160" s="92">
        <f t="shared" si="27"/>
        <v>55</v>
      </c>
      <c r="J160" s="94">
        <f t="shared" si="23"/>
        <v>20</v>
      </c>
      <c r="K160" s="94" t="str">
        <f t="shared" si="24"/>
        <v/>
      </c>
      <c r="L160" s="94">
        <v>150</v>
      </c>
      <c r="M160" s="94">
        <v>38</v>
      </c>
      <c r="N160" s="84" t="str">
        <f t="shared" si="25"/>
        <v>Available</v>
      </c>
    </row>
    <row r="161" spans="1:14" x14ac:dyDescent="0.35">
      <c r="A161" s="118"/>
      <c r="B161" s="112">
        <v>252009</v>
      </c>
      <c r="C161" s="99" t="s">
        <v>224</v>
      </c>
      <c r="D161" s="95" t="s">
        <v>11</v>
      </c>
      <c r="E161" s="95"/>
      <c r="F161" s="95">
        <f>SUMIF(MAINTENANCEUnitsTable[Item Description],'STOCK CONTROL SHEET'!C161,MAINTENANCEUnitsTable[Running Balance])</f>
        <v>0</v>
      </c>
      <c r="G161" s="95">
        <f t="shared" si="26"/>
        <v>0</v>
      </c>
      <c r="H161" s="95">
        <v>226</v>
      </c>
      <c r="I161" s="92">
        <f t="shared" si="27"/>
        <v>226</v>
      </c>
      <c r="J161" s="95" t="str">
        <f t="shared" si="23"/>
        <v/>
      </c>
      <c r="K161" s="95">
        <f t="shared" si="24"/>
        <v>226</v>
      </c>
      <c r="L161" s="95">
        <v>600</v>
      </c>
      <c r="M161" s="95">
        <v>150</v>
      </c>
      <c r="N161" s="84" t="str">
        <f t="shared" si="25"/>
        <v>Available</v>
      </c>
    </row>
    <row r="162" spans="1:14" x14ac:dyDescent="0.35">
      <c r="A162" s="118"/>
      <c r="B162" s="111">
        <v>252008</v>
      </c>
      <c r="C162" s="93" t="s">
        <v>223</v>
      </c>
      <c r="D162" s="94" t="s">
        <v>11</v>
      </c>
      <c r="E162" s="94">
        <v>60</v>
      </c>
      <c r="F162" s="91">
        <f>SUMIF(MAINTENANCEUnitsTable[Item Description],'STOCK CONTROL SHEET'!C162,MAINTENANCEUnitsTable[Running Balance])</f>
        <v>0</v>
      </c>
      <c r="G162" s="94">
        <f t="shared" si="26"/>
        <v>60</v>
      </c>
      <c r="H162" s="94">
        <v>41</v>
      </c>
      <c r="I162" s="92">
        <f t="shared" si="27"/>
        <v>41</v>
      </c>
      <c r="J162" s="94">
        <f t="shared" si="23"/>
        <v>19</v>
      </c>
      <c r="K162" s="94" t="str">
        <f t="shared" si="24"/>
        <v/>
      </c>
      <c r="L162" s="94">
        <v>300</v>
      </c>
      <c r="M162" s="94">
        <v>70</v>
      </c>
      <c r="N162" s="84" t="str">
        <f t="shared" si="25"/>
        <v>Reorder</v>
      </c>
    </row>
    <row r="163" spans="1:14" ht="30" customHeight="1" x14ac:dyDescent="0.35">
      <c r="A163" s="118"/>
      <c r="B163" s="112">
        <v>130</v>
      </c>
      <c r="C163" s="99" t="s">
        <v>208</v>
      </c>
      <c r="D163" s="95" t="s">
        <v>11</v>
      </c>
      <c r="E163" s="95">
        <v>2</v>
      </c>
      <c r="F163" s="95">
        <f>SUMIF(MAINTENANCEUnitsTable[Item Description],'STOCK CONTROL SHEET'!C163,MAINTENANCEUnitsTable[Running Balance])</f>
        <v>0</v>
      </c>
      <c r="G163" s="95">
        <f t="shared" si="26"/>
        <v>2</v>
      </c>
      <c r="H163" s="95">
        <v>2</v>
      </c>
      <c r="I163" s="92">
        <f t="shared" si="27"/>
        <v>2</v>
      </c>
      <c r="J163" s="95" t="str">
        <f t="shared" ref="J163:J172" si="28">IF(G163-I163&lt;=0,"",G163-I163)</f>
        <v/>
      </c>
      <c r="K163" s="95" t="str">
        <f t="shared" ref="K163:K172" si="29">IF(I163-G163&lt;=0,"",I163-G163)</f>
        <v/>
      </c>
      <c r="L163" s="95">
        <v>3</v>
      </c>
      <c r="M163" s="95"/>
      <c r="N163" s="84" t="str">
        <f t="shared" ref="N163:N172" si="30">IF(I163&lt;=M163,"Reorder","Available")</f>
        <v>Available</v>
      </c>
    </row>
    <row r="164" spans="1:14" x14ac:dyDescent="0.35">
      <c r="A164" s="118"/>
      <c r="B164" s="111">
        <v>131</v>
      </c>
      <c r="C164" s="93" t="s">
        <v>140</v>
      </c>
      <c r="D164" s="94" t="s">
        <v>11</v>
      </c>
      <c r="E164" s="94"/>
      <c r="F164" s="91">
        <f>SUMIF(MAINTENANCEUnitsTable[Item Description],'STOCK CONTROL SHEET'!C164,MAINTENANCEUnitsTable[Running Balance])</f>
        <v>0</v>
      </c>
      <c r="G164" s="94">
        <f t="shared" si="26"/>
        <v>0</v>
      </c>
      <c r="H164" s="94"/>
      <c r="I164" s="92">
        <f t="shared" si="27"/>
        <v>0</v>
      </c>
      <c r="J164" s="94" t="str">
        <f t="shared" si="28"/>
        <v/>
      </c>
      <c r="K164" s="94" t="str">
        <f t="shared" si="29"/>
        <v/>
      </c>
      <c r="L164" s="94">
        <v>10</v>
      </c>
      <c r="M164" s="94"/>
      <c r="N164" s="84" t="str">
        <f t="shared" si="30"/>
        <v>Reorder</v>
      </c>
    </row>
    <row r="165" spans="1:14" x14ac:dyDescent="0.35">
      <c r="A165" s="118"/>
      <c r="B165" s="112">
        <v>132</v>
      </c>
      <c r="C165" s="99" t="s">
        <v>222</v>
      </c>
      <c r="D165" s="95" t="s">
        <v>11</v>
      </c>
      <c r="E165" s="95">
        <v>8</v>
      </c>
      <c r="F165" s="95">
        <f>SUMIF(MAINTENANCEUnitsTable[Item Description],'STOCK CONTROL SHEET'!C165,MAINTENANCEUnitsTable[Running Balance])</f>
        <v>0</v>
      </c>
      <c r="G165" s="95">
        <f t="shared" si="26"/>
        <v>8</v>
      </c>
      <c r="H165" s="95">
        <v>8</v>
      </c>
      <c r="I165" s="92">
        <f t="shared" si="27"/>
        <v>8</v>
      </c>
      <c r="J165" s="95" t="str">
        <f t="shared" si="28"/>
        <v/>
      </c>
      <c r="K165" s="95" t="str">
        <f t="shared" si="29"/>
        <v/>
      </c>
      <c r="L165" s="95">
        <v>10</v>
      </c>
      <c r="M165" s="95"/>
      <c r="N165" s="84" t="str">
        <f t="shared" si="30"/>
        <v>Available</v>
      </c>
    </row>
    <row r="166" spans="1:14" x14ac:dyDescent="0.35">
      <c r="A166" s="118"/>
      <c r="B166" s="111">
        <v>252022</v>
      </c>
      <c r="C166" s="93" t="s">
        <v>141</v>
      </c>
      <c r="D166" s="94" t="s">
        <v>11</v>
      </c>
      <c r="E166" s="94"/>
      <c r="F166" s="91">
        <f>SUMIF(MAINTENANCEUnitsTable[Item Description],'STOCK CONTROL SHEET'!C166,MAINTENANCEUnitsTable[Running Balance])</f>
        <v>0</v>
      </c>
      <c r="G166" s="94">
        <f t="shared" si="26"/>
        <v>0</v>
      </c>
      <c r="H166" s="94"/>
      <c r="I166" s="92">
        <f t="shared" si="27"/>
        <v>0</v>
      </c>
      <c r="J166" s="94" t="str">
        <f t="shared" si="28"/>
        <v/>
      </c>
      <c r="K166" s="94" t="str">
        <f t="shared" si="29"/>
        <v/>
      </c>
      <c r="L166" s="94">
        <v>30</v>
      </c>
      <c r="M166" s="94">
        <v>15</v>
      </c>
      <c r="N166" s="84" t="str">
        <f t="shared" si="30"/>
        <v>Reorder</v>
      </c>
    </row>
    <row r="167" spans="1:14" x14ac:dyDescent="0.35">
      <c r="A167" s="118"/>
      <c r="B167" s="112">
        <v>134</v>
      </c>
      <c r="C167" s="99" t="s">
        <v>142</v>
      </c>
      <c r="D167" s="95" t="s">
        <v>11</v>
      </c>
      <c r="E167" s="95">
        <v>2</v>
      </c>
      <c r="F167" s="95">
        <f>SUMIF(MAINTENANCEUnitsTable[Item Description],'STOCK CONTROL SHEET'!C167,MAINTENANCEUnitsTable[Running Balance])</f>
        <v>0</v>
      </c>
      <c r="G167" s="95">
        <f t="shared" si="26"/>
        <v>2</v>
      </c>
      <c r="H167" s="95">
        <v>2</v>
      </c>
      <c r="I167" s="92">
        <f t="shared" si="27"/>
        <v>2</v>
      </c>
      <c r="J167" s="95" t="str">
        <f t="shared" si="28"/>
        <v/>
      </c>
      <c r="K167" s="95" t="str">
        <f t="shared" si="29"/>
        <v/>
      </c>
      <c r="L167" s="95"/>
      <c r="M167" s="95"/>
      <c r="N167" s="84" t="str">
        <f t="shared" si="30"/>
        <v>Available</v>
      </c>
    </row>
    <row r="168" spans="1:14" x14ac:dyDescent="0.35">
      <c r="A168" s="118"/>
      <c r="B168" s="111">
        <v>252019</v>
      </c>
      <c r="C168" s="93" t="s">
        <v>143</v>
      </c>
      <c r="D168" s="94" t="s">
        <v>11</v>
      </c>
      <c r="E168" s="94">
        <v>16</v>
      </c>
      <c r="F168" s="91">
        <f>SUMIF(MAINTENANCEUnitsTable[Item Description],'STOCK CONTROL SHEET'!C168,MAINTENANCEUnitsTable[Running Balance])</f>
        <v>0</v>
      </c>
      <c r="G168" s="94">
        <f t="shared" si="26"/>
        <v>16</v>
      </c>
      <c r="H168" s="94">
        <v>16</v>
      </c>
      <c r="I168" s="92">
        <f t="shared" si="27"/>
        <v>16</v>
      </c>
      <c r="J168" s="94" t="str">
        <f t="shared" si="28"/>
        <v/>
      </c>
      <c r="K168" s="94" t="str">
        <f t="shared" si="29"/>
        <v/>
      </c>
      <c r="L168" s="94"/>
      <c r="M168" s="94"/>
      <c r="N168" s="84" t="str">
        <f t="shared" si="30"/>
        <v>Available</v>
      </c>
    </row>
    <row r="169" spans="1:14" ht="29" x14ac:dyDescent="0.35">
      <c r="A169" s="118"/>
      <c r="B169" s="112">
        <v>136</v>
      </c>
      <c r="C169" s="99" t="s">
        <v>144</v>
      </c>
      <c r="D169" s="95" t="s">
        <v>11</v>
      </c>
      <c r="E169" s="95"/>
      <c r="F169" s="95">
        <f>SUMIF(MAINTENANCEUnitsTable[Item Description],'STOCK CONTROL SHEET'!C169,MAINTENANCEUnitsTable[Running Balance])</f>
        <v>0</v>
      </c>
      <c r="G169" s="95">
        <f t="shared" si="26"/>
        <v>0</v>
      </c>
      <c r="H169" s="95"/>
      <c r="I169" s="92">
        <f t="shared" si="27"/>
        <v>0</v>
      </c>
      <c r="J169" s="95" t="str">
        <f t="shared" si="28"/>
        <v/>
      </c>
      <c r="K169" s="95" t="str">
        <f t="shared" si="29"/>
        <v/>
      </c>
      <c r="L169" s="95"/>
      <c r="M169" s="95"/>
      <c r="N169" s="84" t="str">
        <f t="shared" si="30"/>
        <v>Reorder</v>
      </c>
    </row>
    <row r="170" spans="1:14" x14ac:dyDescent="0.35">
      <c r="A170" s="118"/>
      <c r="B170" s="111">
        <v>282021</v>
      </c>
      <c r="C170" s="93" t="s">
        <v>145</v>
      </c>
      <c r="D170" s="94" t="s">
        <v>11</v>
      </c>
      <c r="E170" s="94">
        <v>49</v>
      </c>
      <c r="F170" s="91">
        <f>SUMIF(MAINTENANCEUnitsTable[Item Description],'STOCK CONTROL SHEET'!C170,MAINTENANCEUnitsTable[Running Balance])</f>
        <v>0</v>
      </c>
      <c r="G170" s="94">
        <f t="shared" si="26"/>
        <v>49</v>
      </c>
      <c r="H170" s="94">
        <v>34</v>
      </c>
      <c r="I170" s="92">
        <f t="shared" si="27"/>
        <v>34</v>
      </c>
      <c r="J170" s="94">
        <f t="shared" si="28"/>
        <v>15</v>
      </c>
      <c r="K170" s="94" t="str">
        <f t="shared" si="29"/>
        <v/>
      </c>
      <c r="L170" s="94">
        <v>100</v>
      </c>
      <c r="M170" s="94">
        <v>25</v>
      </c>
      <c r="N170" s="84" t="str">
        <f t="shared" si="30"/>
        <v>Available</v>
      </c>
    </row>
    <row r="171" spans="1:14" x14ac:dyDescent="0.35">
      <c r="A171" s="118"/>
      <c r="B171" s="112">
        <v>282025</v>
      </c>
      <c r="C171" s="99" t="s">
        <v>146</v>
      </c>
      <c r="D171" s="95" t="s">
        <v>11</v>
      </c>
      <c r="E171" s="95">
        <v>7</v>
      </c>
      <c r="F171" s="95">
        <f>SUMIF(MAINTENANCEUnitsTable[Item Description],'STOCK CONTROL SHEET'!C171,MAINTENANCEUnitsTable[Running Balance])</f>
        <v>0</v>
      </c>
      <c r="G171" s="95">
        <f t="shared" si="26"/>
        <v>7</v>
      </c>
      <c r="H171" s="95">
        <v>6</v>
      </c>
      <c r="I171" s="92">
        <f t="shared" si="27"/>
        <v>6</v>
      </c>
      <c r="J171" s="95">
        <f t="shared" si="28"/>
        <v>1</v>
      </c>
      <c r="K171" s="95" t="str">
        <f t="shared" si="29"/>
        <v/>
      </c>
      <c r="L171" s="95"/>
      <c r="M171" s="95"/>
      <c r="N171" s="84" t="str">
        <f t="shared" si="30"/>
        <v>Available</v>
      </c>
    </row>
    <row r="172" spans="1:14" ht="27" customHeight="1" thickBot="1" x14ac:dyDescent="0.4">
      <c r="A172" s="119"/>
      <c r="B172" s="113">
        <v>252017</v>
      </c>
      <c r="C172" s="100" t="s">
        <v>206</v>
      </c>
      <c r="D172" s="101" t="s">
        <v>11</v>
      </c>
      <c r="E172" s="101">
        <v>17</v>
      </c>
      <c r="F172" s="97">
        <f>SUMIF(MAINTENANCEUnitsTable[Item Description],'STOCK CONTROL SHEET'!C172,MAINTENANCEUnitsTable[Running Balance])</f>
        <v>0</v>
      </c>
      <c r="G172" s="101">
        <f t="shared" si="26"/>
        <v>17</v>
      </c>
      <c r="H172" s="101">
        <v>19</v>
      </c>
      <c r="I172" s="98">
        <f t="shared" si="27"/>
        <v>19</v>
      </c>
      <c r="J172" s="101" t="str">
        <f t="shared" si="28"/>
        <v/>
      </c>
      <c r="K172" s="101">
        <f t="shared" si="29"/>
        <v>2</v>
      </c>
      <c r="L172" s="101"/>
      <c r="M172" s="101"/>
      <c r="N172" s="79" t="str">
        <f t="shared" si="30"/>
        <v>Available</v>
      </c>
    </row>
  </sheetData>
  <sheetProtection autoFilter="0"/>
  <mergeCells count="6">
    <mergeCell ref="A39:A124"/>
    <mergeCell ref="A125:A172"/>
    <mergeCell ref="A3:A38"/>
    <mergeCell ref="A1:A2"/>
    <mergeCell ref="B1:N1"/>
    <mergeCell ref="B2:N2"/>
  </mergeCells>
  <phoneticPr fontId="8" type="noConversion"/>
  <conditionalFormatting sqref="N3:N38 N125:N172">
    <cfRule type="containsText" dxfId="12" priority="11" operator="containsText" text="Reorder">
      <formula>NOT(ISERROR(SEARCH("Reorder",N3)))</formula>
    </cfRule>
  </conditionalFormatting>
  <conditionalFormatting sqref="N3:N38 N125:N172">
    <cfRule type="containsText" dxfId="11" priority="10" operator="containsText" text="Available">
      <formula>NOT(ISERROR(SEARCH("Available",N3)))</formula>
    </cfRule>
  </conditionalFormatting>
  <conditionalFormatting sqref="N39:N124">
    <cfRule type="containsText" dxfId="10" priority="3" operator="containsText" text="Reorder">
      <formula>NOT(ISERROR(SEARCH("Reorder",N39)))</formula>
    </cfRule>
  </conditionalFormatting>
  <conditionalFormatting sqref="N39:N124">
    <cfRule type="containsText" dxfId="9" priority="2" operator="containsText" text="Available">
      <formula>NOT(ISERROR(SEARCH("Available",N39)))</formula>
    </cfRule>
  </conditionalFormatting>
  <pageMargins left="0.7" right="0.7" top="0.75" bottom="0.75" header="0.3" footer="0.3"/>
  <pageSetup paperSize="9" scale="41" fitToHeight="0" orientation="portrait" r:id="rId1"/>
  <ignoredErrors>
    <ignoredError sqref="G4:G7 G8:G9 G11 G13 G15 G17 G19 G21 G23 G25 G28 G30 G32 G34 G36 G38" calculatedColumn="1"/>
  </ignoredErrors>
  <legacy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6">
    <tabColor theme="5"/>
    <pageSetUpPr fitToPage="1"/>
  </sheetPr>
  <dimension ref="A1:I172"/>
  <sheetViews>
    <sheetView showGridLines="0" zoomScale="84" zoomScaleNormal="100" workbookViewId="0">
      <selection activeCell="A8" sqref="A8"/>
    </sheetView>
  </sheetViews>
  <sheetFormatPr defaultRowHeight="14.5" x14ac:dyDescent="0.35"/>
  <cols>
    <col min="1" max="1" width="19.36328125" bestFit="1" customWidth="1"/>
    <col min="2" max="2" width="41.1796875" bestFit="1" customWidth="1"/>
    <col min="3" max="3" width="12.81640625" customWidth="1"/>
    <col min="4" max="4" width="15.36328125" bestFit="1" customWidth="1"/>
    <col min="7" max="7" width="19.36328125" bestFit="1" customWidth="1"/>
    <col min="8" max="8" width="41.1796875" bestFit="1" customWidth="1"/>
    <col min="9" max="9" width="38.81640625" bestFit="1" customWidth="1"/>
  </cols>
  <sheetData>
    <row r="1" spans="1:9" ht="19" thickBot="1" x14ac:dyDescent="0.4">
      <c r="A1" s="133" t="s">
        <v>293</v>
      </c>
      <c r="B1" s="134"/>
      <c r="C1" s="134"/>
      <c r="D1" s="134"/>
      <c r="E1" s="134"/>
      <c r="F1" s="134"/>
      <c r="G1" s="134"/>
      <c r="H1" s="134"/>
      <c r="I1" s="135"/>
    </row>
    <row r="2" spans="1:9" ht="19" thickBot="1" x14ac:dyDescent="0.4">
      <c r="A2" s="136" t="s">
        <v>172</v>
      </c>
      <c r="B2" s="136"/>
      <c r="C2" s="136"/>
      <c r="D2" s="136"/>
      <c r="E2" s="136"/>
      <c r="F2" s="141" t="s">
        <v>291</v>
      </c>
      <c r="G2" s="137" t="s">
        <v>173</v>
      </c>
      <c r="H2" s="137"/>
      <c r="I2" s="137"/>
    </row>
    <row r="3" spans="1:9" ht="16" thickBot="1" x14ac:dyDescent="0.4">
      <c r="A3" s="10" t="s">
        <v>22</v>
      </c>
      <c r="B3" s="10" t="s">
        <v>0</v>
      </c>
      <c r="C3" s="10" t="s">
        <v>170</v>
      </c>
      <c r="D3" s="9" t="s">
        <v>8</v>
      </c>
      <c r="E3" s="102" t="s">
        <v>171</v>
      </c>
      <c r="F3" s="142"/>
      <c r="G3" s="9" t="s">
        <v>22</v>
      </c>
      <c r="H3" s="11" t="s">
        <v>174</v>
      </c>
      <c r="I3" s="12" t="s">
        <v>175</v>
      </c>
    </row>
    <row r="4" spans="1:9" ht="15" thickBot="1" x14ac:dyDescent="0.4">
      <c r="A4" s="35">
        <f t="shared" ref="A4:A38" si="0">SFMaterialNo</f>
        <v>282014</v>
      </c>
      <c r="B4" s="42" t="str">
        <f>IF(A4="","",VLOOKUP(A4,SF.STOREPRIMARY[],2,FALSE))</f>
        <v>Tissue Papers</v>
      </c>
      <c r="C4" s="42" t="str">
        <f>IF(A4="","",VLOOKUP(A4,'STOCK CONTROL SHEET'!Details,3,FALSE))</f>
        <v>ROLL</v>
      </c>
      <c r="D4" s="42">
        <f>SF.STOREPRIMARY[Reorder Levels]</f>
        <v>500</v>
      </c>
      <c r="E4" s="42">
        <f>SF.STOREPRIMARY[Physical Stock Bal.]</f>
        <v>0</v>
      </c>
      <c r="F4" s="138" t="s">
        <v>189</v>
      </c>
      <c r="G4" s="43">
        <f t="shared" ref="G4:G38" si="1">SFMaterialNo</f>
        <v>282014</v>
      </c>
      <c r="H4" s="43" t="str">
        <f>IF(Table2[[#This Row],[Quantity]]&gt;Table2[[#This Row],[Reorder Levels]],Table2[Item Description],"")</f>
        <v/>
      </c>
      <c r="I4" s="43" t="str">
        <f>IF(Table2[[#This Row],[Quantity]]&lt;=Table2[[#This Row],[Reorder Levels]],Table2[Item Description],"")</f>
        <v>Tissue Papers</v>
      </c>
    </row>
    <row r="5" spans="1:9" ht="15" thickBot="1" x14ac:dyDescent="0.4">
      <c r="A5" s="35">
        <f t="shared" si="0"/>
        <v>100126</v>
      </c>
      <c r="B5" s="42" t="str">
        <f>IF(A5="","",VLOOKUP(A5,SF.STOREPRIMARY[],2,FALSE))</f>
        <v>Administration Folders</v>
      </c>
      <c r="C5" s="42" t="str">
        <f>IF(A5="","",VLOOKUP(A5,'STOCK CONTROL SHEET'!Details,3,FALSE))</f>
        <v>PCS</v>
      </c>
      <c r="D5" s="42">
        <f>SF.STOREPRIMARY[Reorder Levels]</f>
        <v>450</v>
      </c>
      <c r="E5" s="42">
        <f>SF.STOREPRIMARY[Physical Stock Bal.]</f>
        <v>0</v>
      </c>
      <c r="F5" s="139"/>
      <c r="G5" s="44">
        <f t="shared" si="1"/>
        <v>100126</v>
      </c>
      <c r="H5" s="43" t="str">
        <f>IF(Table2[[#This Row],[Quantity]]&gt;Table2[[#This Row],[Reorder Levels]],Table2[Item Description],"")</f>
        <v/>
      </c>
      <c r="I5" s="43" t="str">
        <f>IF(Table2[[#This Row],[Quantity]]&lt;=Table2[[#This Row],[Reorder Levels]],Table2[Item Description],"")</f>
        <v>Administration Folders</v>
      </c>
    </row>
    <row r="6" spans="1:9" ht="15" thickBot="1" x14ac:dyDescent="0.4">
      <c r="A6" s="35">
        <f t="shared" si="0"/>
        <v>100128</v>
      </c>
      <c r="B6" s="42" t="str">
        <f>IF(A6="","",VLOOKUP(A6,SF.STOREPRIMARY[],2,FALSE))</f>
        <v>Age Benefit Folders</v>
      </c>
      <c r="C6" s="42" t="str">
        <f>IF(A6="","",VLOOKUP(A6,'STOCK CONTROL SHEET'!Details,3,FALSE))</f>
        <v>PCS</v>
      </c>
      <c r="D6" s="42">
        <f>SF.STOREPRIMARY[Reorder Levels]</f>
        <v>4500</v>
      </c>
      <c r="E6" s="42">
        <f>SF.STOREPRIMARY[Physical Stock Bal.]</f>
        <v>176</v>
      </c>
      <c r="F6" s="139"/>
      <c r="G6" s="44">
        <f t="shared" si="1"/>
        <v>100128</v>
      </c>
      <c r="H6" s="43" t="str">
        <f>IF(Table2[[#This Row],[Quantity]]&gt;Table2[[#This Row],[Reorder Levels]],Table2[Item Description],"")</f>
        <v/>
      </c>
      <c r="I6" s="43" t="str">
        <f>IF(Table2[[#This Row],[Quantity]]&lt;=Table2[[#This Row],[Reorder Levels]],Table2[Item Description],"")</f>
        <v>Age Benefit Folders</v>
      </c>
    </row>
    <row r="7" spans="1:9" ht="15" thickBot="1" x14ac:dyDescent="0.4">
      <c r="A7" s="35">
        <f t="shared" si="0"/>
        <v>100216</v>
      </c>
      <c r="B7" s="42" t="str">
        <f>IF(A7="","",VLOOKUP(A7,SF.STOREPRIMARY[],2,FALSE))</f>
        <v>App. For Personal Exemption Forms</v>
      </c>
      <c r="C7" s="42" t="str">
        <f>IF(A7="","",VLOOKUP(A7,'STOCK CONTROL SHEET'!Details,3,FALSE))</f>
        <v>PCS</v>
      </c>
      <c r="D7" s="42">
        <f>SF.STOREPRIMARY[Reorder Levels]</f>
        <v>3000</v>
      </c>
      <c r="E7" s="42">
        <f>SF.STOREPRIMARY[Physical Stock Bal.]</f>
        <v>0</v>
      </c>
      <c r="F7" s="139"/>
      <c r="G7" s="44">
        <f t="shared" si="1"/>
        <v>100216</v>
      </c>
      <c r="H7" s="43" t="str">
        <f>IF(Table2[[#This Row],[Quantity]]&gt;Table2[[#This Row],[Reorder Levels]],Table2[Item Description],"")</f>
        <v/>
      </c>
      <c r="I7" s="43" t="str">
        <f>IF(Table2[[#This Row],[Quantity]]&lt;=Table2[[#This Row],[Reorder Levels]],Table2[Item Description],"")</f>
        <v>App. For Personal Exemption Forms</v>
      </c>
    </row>
    <row r="8" spans="1:9" ht="15" thickBot="1" x14ac:dyDescent="0.4">
      <c r="A8" s="35">
        <f t="shared" si="0"/>
        <v>100139</v>
      </c>
      <c r="B8" s="42" t="str">
        <f>IF(A8="","",VLOOKUP(A8,SF.STOREPRIMARY[],2,FALSE))</f>
        <v>App. For Employer SF/001</v>
      </c>
      <c r="C8" s="42" t="str">
        <f>IF(A8="","",VLOOKUP(A8,'STOCK CONTROL SHEET'!Details,3,FALSE))</f>
        <v>PCS</v>
      </c>
      <c r="D8" s="42">
        <f>SF.STOREPRIMARY[Reorder Levels]</f>
        <v>15000</v>
      </c>
      <c r="E8" s="42">
        <f>SF.STOREPRIMARY[Physical Stock Bal.]</f>
        <v>6000</v>
      </c>
      <c r="F8" s="139"/>
      <c r="G8" s="44">
        <f t="shared" si="1"/>
        <v>100139</v>
      </c>
      <c r="H8" s="43" t="str">
        <f>IF(Table2[[#This Row],[Quantity]]&gt;Table2[[#This Row],[Reorder Levels]],Table2[Item Description],"")</f>
        <v/>
      </c>
      <c r="I8" s="43" t="str">
        <f>IF(Table2[[#This Row],[Quantity]]&lt;=Table2[[#This Row],[Reorder Levels]],Table2[Item Description],"")</f>
        <v>App. For Employer SF/001</v>
      </c>
    </row>
    <row r="9" spans="1:9" ht="15" thickBot="1" x14ac:dyDescent="0.4">
      <c r="A9" s="35">
        <f t="shared" si="0"/>
        <v>100218</v>
      </c>
      <c r="B9" s="42" t="str">
        <f>IF(A9="","",VLOOKUP(A9,SF.STOREPRIMARY[],2,FALSE))</f>
        <v>Ben. App. Forms SF/001</v>
      </c>
      <c r="C9" s="42" t="str">
        <f>IF(A9="","",VLOOKUP(A9,'STOCK CONTROL SHEET'!Details,3,FALSE))</f>
        <v>PCS</v>
      </c>
      <c r="D9" s="42">
        <f>SF.STOREPRIMARY[Reorder Levels]</f>
        <v>7500</v>
      </c>
      <c r="E9" s="42">
        <f>SF.STOREPRIMARY[Physical Stock Bal.]</f>
        <v>5150</v>
      </c>
      <c r="F9" s="139"/>
      <c r="G9" s="44">
        <f t="shared" si="1"/>
        <v>100218</v>
      </c>
      <c r="H9" s="43" t="str">
        <f>IF(Table2[[#This Row],[Quantity]]&gt;Table2[[#This Row],[Reorder Levels]],Table2[Item Description],"")</f>
        <v/>
      </c>
      <c r="I9" s="43" t="str">
        <f>IF(Table2[[#This Row],[Quantity]]&lt;=Table2[[#This Row],[Reorder Levels]],Table2[Item Description],"")</f>
        <v>Ben. App. Forms SF/001</v>
      </c>
    </row>
    <row r="10" spans="1:9" ht="15" thickBot="1" x14ac:dyDescent="0.4">
      <c r="A10" s="35">
        <f t="shared" si="0"/>
        <v>100220</v>
      </c>
      <c r="B10" s="42" t="str">
        <f>IF(A10="","",VLOOKUP(A10,SF.STOREPRIMARY[],2,FALSE))</f>
        <v>Payment of Benefit Forms/004</v>
      </c>
      <c r="C10" s="42" t="str">
        <f>IF(A10="","",VLOOKUP(A10,'STOCK CONTROL SHEET'!Details,3,FALSE))</f>
        <v>PCS</v>
      </c>
      <c r="D10" s="42">
        <f>SF.STOREPRIMARY[Reorder Levels]</f>
        <v>7500</v>
      </c>
      <c r="E10" s="42" t="str">
        <f>SF.STOREPRIMARY[Physical Stock Bal.]</f>
        <v/>
      </c>
      <c r="F10" s="139"/>
      <c r="G10" s="44">
        <f t="shared" si="1"/>
        <v>100220</v>
      </c>
      <c r="H10" s="43" t="str">
        <f>IF(Table2[[#This Row],[Quantity]]&gt;Table2[[#This Row],[Reorder Levels]],Table2[Item Description],"")</f>
        <v>Payment of Benefit Forms/004</v>
      </c>
      <c r="I10" s="43" t="str">
        <f>IF(Table2[[#This Row],[Quantity]]&lt;=Table2[[#This Row],[Reorder Levels]],Table2[Item Description],"")</f>
        <v/>
      </c>
    </row>
    <row r="11" spans="1:9" ht="15" thickBot="1" x14ac:dyDescent="0.4">
      <c r="A11" s="35">
        <f t="shared" si="0"/>
        <v>100210</v>
      </c>
      <c r="B11" s="42" t="str">
        <f>IF(A11="","",VLOOKUP(A11,SF.STOREPRIMARY[],2,FALSE))</f>
        <v>Claim Confirmation SF/D/005</v>
      </c>
      <c r="C11" s="42" t="str">
        <f>IF(A11="","",VLOOKUP(A11,'STOCK CONTROL SHEET'!Details,3,FALSE))</f>
        <v>PCS</v>
      </c>
      <c r="D11" s="42">
        <f>SF.STOREPRIMARY[Reorder Levels]</f>
        <v>7500</v>
      </c>
      <c r="E11" s="42">
        <f>SF.STOREPRIMARY[Physical Stock Bal.]</f>
        <v>0</v>
      </c>
      <c r="F11" s="139"/>
      <c r="G11" s="44">
        <f t="shared" si="1"/>
        <v>100210</v>
      </c>
      <c r="H11" s="43" t="str">
        <f>IF(Table2[[#This Row],[Quantity]]&gt;Table2[[#This Row],[Reorder Levels]],Table2[Item Description],"")</f>
        <v/>
      </c>
      <c r="I11" s="43" t="str">
        <f>IF(Table2[[#This Row],[Quantity]]&lt;=Table2[[#This Row],[Reorder Levels]],Table2[Item Description],"")</f>
        <v>Claim Confirmation SF/D/005</v>
      </c>
    </row>
    <row r="12" spans="1:9" ht="15" thickBot="1" x14ac:dyDescent="0.4">
      <c r="A12" s="35">
        <f t="shared" si="0"/>
        <v>100162</v>
      </c>
      <c r="B12" s="42" t="str">
        <f>IF(A12="","",VLOOKUP(A12,SF.STOREPRIMARY[],2,FALSE))</f>
        <v>Confidential Folders Pink</v>
      </c>
      <c r="C12" s="42" t="str">
        <f>IF(A12="","",VLOOKUP(A12,'STOCK CONTROL SHEET'!Details,3,FALSE))</f>
        <v>PCS</v>
      </c>
      <c r="D12" s="42">
        <f>SF.STOREPRIMARY[Reorder Levels]</f>
        <v>250</v>
      </c>
      <c r="E12" s="42">
        <f>SF.STOREPRIMARY[Physical Stock Bal.]</f>
        <v>5</v>
      </c>
      <c r="F12" s="139"/>
      <c r="G12" s="44">
        <f t="shared" si="1"/>
        <v>100162</v>
      </c>
      <c r="H12" s="43" t="str">
        <f>IF(Table2[[#This Row],[Quantity]]&gt;Table2[[#This Row],[Reorder Levels]],Table2[Item Description],"")</f>
        <v/>
      </c>
      <c r="I12" s="43" t="str">
        <f>IF(Table2[[#This Row],[Quantity]]&lt;=Table2[[#This Row],[Reorder Levels]],Table2[Item Description],"")</f>
        <v>Confidential Folders Pink</v>
      </c>
    </row>
    <row r="13" spans="1:9" ht="15" thickBot="1" x14ac:dyDescent="0.4">
      <c r="A13" s="35">
        <f t="shared" si="0"/>
        <v>100144</v>
      </c>
      <c r="B13" s="42" t="str">
        <f>IF(A13="","",VLOOKUP(A13,SF.STOREPRIMARY[],2,FALSE))</f>
        <v>Dummy B Certificate</v>
      </c>
      <c r="C13" s="42" t="str">
        <f>IF(A13="","",VLOOKUP(A13,'STOCK CONTROL SHEET'!Details,3,FALSE))</f>
        <v>PCS</v>
      </c>
      <c r="D13" s="42">
        <f>SF.STOREPRIMARY[Reorder Levels]</f>
        <v>100</v>
      </c>
      <c r="E13" s="42">
        <f>SF.STOREPRIMARY[Physical Stock Bal.]</f>
        <v>201</v>
      </c>
      <c r="F13" s="139"/>
      <c r="G13" s="44">
        <f t="shared" si="1"/>
        <v>100144</v>
      </c>
      <c r="H13" s="43" t="str">
        <f>IF(Table2[[#This Row],[Quantity]]&gt;Table2[[#This Row],[Reorder Levels]],Table2[Item Description],"")</f>
        <v>Dummy B Certificate</v>
      </c>
      <c r="I13" s="43" t="str">
        <f>IF(Table2[[#This Row],[Quantity]]&lt;=Table2[[#This Row],[Reorder Levels]],Table2[Item Description],"")</f>
        <v/>
      </c>
    </row>
    <row r="14" spans="1:9" ht="15" thickBot="1" x14ac:dyDescent="0.4">
      <c r="A14" s="35">
        <f t="shared" si="0"/>
        <v>100125</v>
      </c>
      <c r="B14" s="42" t="str">
        <f>IF(A14="","",VLOOKUP(A14,SF.STOREPRIMARY[],2,FALSE))</f>
        <v>Empty Cartons</v>
      </c>
      <c r="C14" s="42" t="str">
        <f>IF(A14="","",VLOOKUP(A14,'STOCK CONTROL SHEET'!Details,3,FALSE))</f>
        <v>NO</v>
      </c>
      <c r="D14" s="42">
        <f>SF.STOREPRIMARY[Reorder Levels]</f>
        <v>100</v>
      </c>
      <c r="E14" s="42">
        <f>SF.STOREPRIMARY[Physical Stock Bal.]</f>
        <v>367</v>
      </c>
      <c r="F14" s="139"/>
      <c r="G14" s="44">
        <f t="shared" si="1"/>
        <v>100125</v>
      </c>
      <c r="H14" s="43" t="str">
        <f>IF(Table2[[#This Row],[Quantity]]&gt;Table2[[#This Row],[Reorder Levels]],Table2[Item Description],"")</f>
        <v>Empty Cartons</v>
      </c>
      <c r="I14" s="43" t="str">
        <f>IF(Table2[[#This Row],[Quantity]]&lt;=Table2[[#This Row],[Reorder Levels]],Table2[Item Description],"")</f>
        <v/>
      </c>
    </row>
    <row r="15" spans="1:9" ht="15" thickBot="1" x14ac:dyDescent="0.4">
      <c r="A15" s="35">
        <f t="shared" si="0"/>
        <v>100123</v>
      </c>
      <c r="B15" s="42" t="str">
        <f>IF(A15="","",VLOOKUP(A15,SF.STOREPRIMARY[],2,FALSE))</f>
        <v>Envelopes A4</v>
      </c>
      <c r="C15" s="42" t="str">
        <f>IF(A15="","",VLOOKUP(A15,'STOCK CONTROL SHEET'!Details,3,FALSE))</f>
        <v>PCS</v>
      </c>
      <c r="D15" s="42">
        <f>SF.STOREPRIMARY[Reorder Levels]</f>
        <v>9000</v>
      </c>
      <c r="E15" s="42">
        <f>SF.STOREPRIMARY[Physical Stock Bal.]</f>
        <v>12851</v>
      </c>
      <c r="F15" s="139"/>
      <c r="G15" s="44">
        <f t="shared" si="1"/>
        <v>100123</v>
      </c>
      <c r="H15" s="43" t="str">
        <f>IF(Table2[[#This Row],[Quantity]]&gt;Table2[[#This Row],[Reorder Levels]],Table2[Item Description],"")</f>
        <v>Envelopes A4</v>
      </c>
      <c r="I15" s="43" t="str">
        <f>IF(Table2[[#This Row],[Quantity]]&lt;=Table2[[#This Row],[Reorder Levels]],Table2[Item Description],"")</f>
        <v/>
      </c>
    </row>
    <row r="16" spans="1:9" ht="15" thickBot="1" x14ac:dyDescent="0.4">
      <c r="A16" s="35">
        <f t="shared" si="0"/>
        <v>100228</v>
      </c>
      <c r="B16" s="42" t="str">
        <f>IF(A16="","",VLOOKUP(A16,SF.STOREPRIMARY[],2,FALSE))</f>
        <v>A3 Security Envelopes</v>
      </c>
      <c r="C16" s="42" t="str">
        <f>IF(A16="","",VLOOKUP(A16,'STOCK CONTROL SHEET'!Details,3,FALSE))</f>
        <v>PCS</v>
      </c>
      <c r="D16" s="42">
        <f>SF.STOREPRIMARY[Reorder Levels]</f>
        <v>600</v>
      </c>
      <c r="E16" s="42">
        <f>SF.STOREPRIMARY[Physical Stock Bal.]</f>
        <v>0</v>
      </c>
      <c r="F16" s="139"/>
      <c r="G16" s="44">
        <f t="shared" si="1"/>
        <v>100228</v>
      </c>
      <c r="H16" s="43" t="str">
        <f>IF(Table2[[#This Row],[Quantity]]&gt;Table2[[#This Row],[Reorder Levels]],Table2[Item Description],"")</f>
        <v/>
      </c>
      <c r="I16" s="43" t="str">
        <f>IF(Table2[[#This Row],[Quantity]]&lt;=Table2[[#This Row],[Reorder Levels]],Table2[Item Description],"")</f>
        <v>A3 Security Envelopes</v>
      </c>
    </row>
    <row r="17" spans="1:9" ht="15" thickBot="1" x14ac:dyDescent="0.4">
      <c r="A17" s="35">
        <f t="shared" si="0"/>
        <v>100124</v>
      </c>
      <c r="B17" s="42" t="str">
        <f>IF(A17="","",VLOOKUP(A17,SF.STOREPRIMARY[],2,FALSE))</f>
        <v>Envelopes A3 (16*12) White</v>
      </c>
      <c r="C17" s="42" t="str">
        <f>IF(A17="","",VLOOKUP(A17,'STOCK CONTROL SHEET'!Details,3,FALSE))</f>
        <v>PCS</v>
      </c>
      <c r="D17" s="42">
        <f>SF.STOREPRIMARY[Reorder Levels]</f>
        <v>450</v>
      </c>
      <c r="E17" s="42">
        <f>SF.STOREPRIMARY[Physical Stock Bal.]</f>
        <v>1111</v>
      </c>
      <c r="F17" s="139"/>
      <c r="G17" s="44">
        <f t="shared" si="1"/>
        <v>100124</v>
      </c>
      <c r="H17" s="43" t="str">
        <f>IF(Table2[[#This Row],[Quantity]]&gt;Table2[[#This Row],[Reorder Levels]],Table2[Item Description],"")</f>
        <v>Envelopes A3 (16*12) White</v>
      </c>
      <c r="I17" s="43" t="str">
        <f>IF(Table2[[#This Row],[Quantity]]&lt;=Table2[[#This Row],[Reorder Levels]],Table2[Item Description],"")</f>
        <v/>
      </c>
    </row>
    <row r="18" spans="1:9" ht="15" thickBot="1" x14ac:dyDescent="0.4">
      <c r="A18" s="35">
        <f t="shared" si="0"/>
        <v>100122</v>
      </c>
      <c r="B18" s="42" t="str">
        <f>IF(A18="","",VLOOKUP(A18,SF.STOREPRIMARY[],2,FALSE))</f>
        <v>Envelopes A5</v>
      </c>
      <c r="C18" s="42" t="str">
        <f>IF(A18="","",VLOOKUP(A18,'STOCK CONTROL SHEET'!Details,3,FALSE))</f>
        <v>PCS</v>
      </c>
      <c r="D18" s="42">
        <f>SF.STOREPRIMARY[Reorder Levels]</f>
        <v>3750</v>
      </c>
      <c r="E18" s="42">
        <f>SF.STOREPRIMARY[Physical Stock Bal.]</f>
        <v>9157</v>
      </c>
      <c r="F18" s="139"/>
      <c r="G18" s="44">
        <f t="shared" si="1"/>
        <v>100122</v>
      </c>
      <c r="H18" s="43" t="str">
        <f>IF(Table2[[#This Row],[Quantity]]&gt;Table2[[#This Row],[Reorder Levels]],Table2[Item Description],"")</f>
        <v>Envelopes A5</v>
      </c>
      <c r="I18" s="43" t="str">
        <f>IF(Table2[[#This Row],[Quantity]]&lt;=Table2[[#This Row],[Reorder Levels]],Table2[Item Description],"")</f>
        <v/>
      </c>
    </row>
    <row r="19" spans="1:9" ht="15" thickBot="1" x14ac:dyDescent="0.4">
      <c r="A19" s="35">
        <f t="shared" si="0"/>
        <v>100130</v>
      </c>
      <c r="B19" s="42" t="str">
        <f>IF(A19="","",VLOOKUP(A19,SF.STOREPRIMARY[],2,FALSE))</f>
        <v>Emigration Benefit Folders</v>
      </c>
      <c r="C19" s="42" t="str">
        <f>IF(A19="","",VLOOKUP(A19,'STOCK CONTROL SHEET'!Details,3,FALSE))</f>
        <v>PCS</v>
      </c>
      <c r="D19" s="42">
        <f>SF.STOREPRIMARY[Reorder Levels]</f>
        <v>68</v>
      </c>
      <c r="E19" s="42">
        <f>SF.STOREPRIMARY[Physical Stock Bal.]</f>
        <v>2378</v>
      </c>
      <c r="F19" s="139"/>
      <c r="G19" s="44">
        <f t="shared" si="1"/>
        <v>100130</v>
      </c>
      <c r="H19" s="43" t="str">
        <f>IF(Table2[[#This Row],[Quantity]]&gt;Table2[[#This Row],[Reorder Levels]],Table2[Item Description],"")</f>
        <v>Emigration Benefit Folders</v>
      </c>
      <c r="I19" s="43" t="str">
        <f>IF(Table2[[#This Row],[Quantity]]&lt;=Table2[[#This Row],[Reorder Levels]],Table2[Item Description],"")</f>
        <v/>
      </c>
    </row>
    <row r="20" spans="1:9" ht="15" thickBot="1" x14ac:dyDescent="0.4">
      <c r="A20" s="35">
        <f t="shared" si="0"/>
        <v>100138</v>
      </c>
      <c r="B20" s="42" t="str">
        <f>IF(A20="","",VLOOKUP(A20,SF.STOREPRIMARY[],2,FALSE))</f>
        <v>Fingerprint Forms SF/003</v>
      </c>
      <c r="C20" s="42" t="str">
        <f>IF(A20="","",VLOOKUP(A20,'STOCK CONTROL SHEET'!Details,3,FALSE))</f>
        <v>PCS</v>
      </c>
      <c r="D20" s="42">
        <f>SF.STOREPRIMARY[Reorder Levels]</f>
        <v>22500</v>
      </c>
      <c r="E20" s="42" t="str">
        <f>SF.STOREPRIMARY[Physical Stock Bal.]</f>
        <v/>
      </c>
      <c r="F20" s="139"/>
      <c r="G20" s="44">
        <f t="shared" si="1"/>
        <v>100138</v>
      </c>
      <c r="H20" s="43" t="str">
        <f>IF(Table2[[#This Row],[Quantity]]&gt;Table2[[#This Row],[Reorder Levels]],Table2[Item Description],"")</f>
        <v>Fingerprint Forms SF/003</v>
      </c>
      <c r="I20" s="43" t="str">
        <f>IF(Table2[[#This Row],[Quantity]]&lt;=Table2[[#This Row],[Reorder Levels]],Table2[Item Description],"")</f>
        <v/>
      </c>
    </row>
    <row r="21" spans="1:9" ht="15" thickBot="1" x14ac:dyDescent="0.4">
      <c r="A21" s="35">
        <f t="shared" si="0"/>
        <v>100221</v>
      </c>
      <c r="B21" s="42" t="str">
        <f>IF(A21="","",VLOOKUP(A21,SF.STOREPRIMARY[],2,FALSE))</f>
        <v>Funeral Grant Forms 006</v>
      </c>
      <c r="C21" s="42" t="str">
        <f>IF(A21="","",VLOOKUP(A21,'STOCK CONTROL SHEET'!Details,3,FALSE))</f>
        <v>PCS</v>
      </c>
      <c r="D21" s="42">
        <f>SF.STOREPRIMARY[Reorder Levels]</f>
        <v>1250</v>
      </c>
      <c r="E21" s="42">
        <f>SF.STOREPRIMARY[Physical Stock Bal.]</f>
        <v>42</v>
      </c>
      <c r="F21" s="139"/>
      <c r="G21" s="44">
        <f t="shared" si="1"/>
        <v>100221</v>
      </c>
      <c r="H21" s="43" t="str">
        <f>IF(Table2[[#This Row],[Quantity]]&gt;Table2[[#This Row],[Reorder Levels]],Table2[Item Description],"")</f>
        <v/>
      </c>
      <c r="I21" s="43" t="str">
        <f>IF(Table2[[#This Row],[Quantity]]&lt;=Table2[[#This Row],[Reorder Levels]],Table2[Item Description],"")</f>
        <v>Funeral Grant Forms 006</v>
      </c>
    </row>
    <row r="22" spans="1:9" ht="15" thickBot="1" x14ac:dyDescent="0.4">
      <c r="A22" s="35">
        <f t="shared" si="0"/>
        <v>100155</v>
      </c>
      <c r="B22" s="42" t="str">
        <f>IF(A22="","",VLOOKUP(A22,SF.STOREPRIMARY[],2,FALSE))</f>
        <v>Finance Account Folders</v>
      </c>
      <c r="C22" s="42" t="str">
        <f>IF(A22="","",VLOOKUP(A22,'STOCK CONTROL SHEET'!Details,3,FALSE))</f>
        <v>PCS</v>
      </c>
      <c r="D22" s="42">
        <f>SF.STOREPRIMARY[Reorder Levels]</f>
        <v>125</v>
      </c>
      <c r="E22" s="42">
        <f>SF.STOREPRIMARY[Physical Stock Bal.]</f>
        <v>2</v>
      </c>
      <c r="F22" s="139"/>
      <c r="G22" s="44">
        <f t="shared" si="1"/>
        <v>100155</v>
      </c>
      <c r="H22" s="43" t="str">
        <f>IF(Table2[[#This Row],[Quantity]]&gt;Table2[[#This Row],[Reorder Levels]],Table2[Item Description],"")</f>
        <v/>
      </c>
      <c r="I22" s="43" t="str">
        <f>IF(Table2[[#This Row],[Quantity]]&lt;=Table2[[#This Row],[Reorder Levels]],Table2[Item Description],"")</f>
        <v>Finance Account Folders</v>
      </c>
    </row>
    <row r="23" spans="1:9" ht="15" thickBot="1" x14ac:dyDescent="0.4">
      <c r="A23" s="35">
        <f t="shared" si="0"/>
        <v>100219</v>
      </c>
      <c r="B23" s="42" t="str">
        <f>IF(A23="","",VLOOKUP(A23,SF.STOREPRIMARY[],2,FALSE))</f>
        <v>Invalidity Ben. Forms/002</v>
      </c>
      <c r="C23" s="42" t="str">
        <f>IF(A23="","",VLOOKUP(A23,'STOCK CONTROL SHEET'!Details,3,FALSE))</f>
        <v>PCS</v>
      </c>
      <c r="D23" s="42">
        <f>SF.STOREPRIMARY[Reorder Levels]</f>
        <v>1500</v>
      </c>
      <c r="E23" s="42">
        <f>SF.STOREPRIMARY[Physical Stock Bal.]</f>
        <v>9100</v>
      </c>
      <c r="F23" s="139"/>
      <c r="G23" s="44">
        <f t="shared" si="1"/>
        <v>100219</v>
      </c>
      <c r="H23" s="43" t="str">
        <f>IF(Table2[[#This Row],[Quantity]]&gt;Table2[[#This Row],[Reorder Levels]],Table2[Item Description],"")</f>
        <v>Invalidity Ben. Forms/002</v>
      </c>
      <c r="I23" s="43" t="str">
        <f>IF(Table2[[#This Row],[Quantity]]&lt;=Table2[[#This Row],[Reorder Levels]],Table2[Item Description],"")</f>
        <v/>
      </c>
    </row>
    <row r="24" spans="1:9" ht="15" thickBot="1" x14ac:dyDescent="0.4">
      <c r="A24" s="35">
        <f t="shared" si="0"/>
        <v>100178</v>
      </c>
      <c r="B24" s="42" t="str">
        <f>IF(A24="","",VLOOKUP(A24,SF.STOREPRIMARY[],2,FALSE))</f>
        <v>Invalidity Ben. Folders</v>
      </c>
      <c r="C24" s="42" t="str">
        <f>IF(A24="","",VLOOKUP(A24,'STOCK CONTROL SHEET'!Details,3,FALSE))</f>
        <v>PCS</v>
      </c>
      <c r="D24" s="42">
        <f>SF.STOREPRIMARY[Reorder Levels]</f>
        <v>125</v>
      </c>
      <c r="E24" s="42">
        <f>SF.STOREPRIMARY[Physical Stock Bal.]</f>
        <v>1362</v>
      </c>
      <c r="F24" s="139"/>
      <c r="G24" s="44">
        <f t="shared" si="1"/>
        <v>100178</v>
      </c>
      <c r="H24" s="43" t="str">
        <f>IF(Table2[[#This Row],[Quantity]]&gt;Table2[[#This Row],[Reorder Levels]],Table2[Item Description],"")</f>
        <v>Invalidity Ben. Folders</v>
      </c>
      <c r="I24" s="43" t="str">
        <f>IF(Table2[[#This Row],[Quantity]]&lt;=Table2[[#This Row],[Reorder Levels]],Table2[Item Description],"")</f>
        <v/>
      </c>
    </row>
    <row r="25" spans="1:9" ht="15" thickBot="1" x14ac:dyDescent="0.4">
      <c r="A25" s="35">
        <f t="shared" si="0"/>
        <v>100143</v>
      </c>
      <c r="B25" s="42" t="str">
        <f>IF(A25="","",VLOOKUP(A25,SF.STOREPRIMARY[],2,FALSE))</f>
        <v>Laminating Pouches</v>
      </c>
      <c r="C25" s="42" t="str">
        <f>IF(A25="","",VLOOKUP(A25,'STOCK CONTROL SHEET'!Details,3,FALSE))</f>
        <v>PCS</v>
      </c>
      <c r="D25" s="42">
        <f>SF.STOREPRIMARY[Reorder Levels]</f>
        <v>145000</v>
      </c>
      <c r="E25" s="42" t="str">
        <f>SF.STOREPRIMARY[Physical Stock Bal.]</f>
        <v/>
      </c>
      <c r="F25" s="139"/>
      <c r="G25" s="44">
        <f t="shared" si="1"/>
        <v>100143</v>
      </c>
      <c r="H25" s="43" t="str">
        <f>IF(Table2[[#This Row],[Quantity]]&gt;Table2[[#This Row],[Reorder Levels]],Table2[Item Description],"")</f>
        <v>Laminating Pouches</v>
      </c>
      <c r="I25" s="43" t="str">
        <f>IF(Table2[[#This Row],[Quantity]]&lt;=Table2[[#This Row],[Reorder Levels]],Table2[Item Description],"")</f>
        <v/>
      </c>
    </row>
    <row r="26" spans="1:9" ht="15" thickBot="1" x14ac:dyDescent="0.4">
      <c r="A26" s="35">
        <f t="shared" si="0"/>
        <v>100145</v>
      </c>
      <c r="B26" s="42" t="str">
        <f>IF(A26="","",VLOOKUP(A26,SF.STOREPRIMARY[],2,FALSE))</f>
        <v>Membership Cards (Blank)</v>
      </c>
      <c r="C26" s="42" t="str">
        <f>IF(A26="","",VLOOKUP(A26,'STOCK CONTROL SHEET'!Details,3,FALSE))</f>
        <v>PCS</v>
      </c>
      <c r="D26" s="42">
        <f>SF.STOREPRIMARY[Reorder Levels]</f>
        <v>154000</v>
      </c>
      <c r="E26" s="42">
        <f>SF.STOREPRIMARY[Physical Stock Bal.]</f>
        <v>469500</v>
      </c>
      <c r="F26" s="139"/>
      <c r="G26" s="44">
        <f t="shared" si="1"/>
        <v>100145</v>
      </c>
      <c r="H26" s="43" t="str">
        <f>IF(Table2[[#This Row],[Quantity]]&gt;Table2[[#This Row],[Reorder Levels]],Table2[Item Description],"")</f>
        <v>Membership Cards (Blank)</v>
      </c>
      <c r="I26" s="43" t="str">
        <f>IF(Table2[[#This Row],[Quantity]]&lt;=Table2[[#This Row],[Reorder Levels]],Table2[Item Description],"")</f>
        <v/>
      </c>
    </row>
    <row r="27" spans="1:9" ht="15" thickBot="1" x14ac:dyDescent="0.4">
      <c r="A27" s="35">
        <f t="shared" si="0"/>
        <v>100205</v>
      </c>
      <c r="B27" s="42" t="str">
        <f>IF(A27="","",VLOOKUP(A27,SF.STOREPRIMARY[],2,FALSE))</f>
        <v>Employee Registration 003</v>
      </c>
      <c r="C27" s="42" t="str">
        <f>IF(A27="","",VLOOKUP(A27,'STOCK CONTROL SHEET'!Details,3,FALSE))</f>
        <v>PCS</v>
      </c>
      <c r="D27" s="42">
        <f>SF.STOREPRIMARY[Reorder Levels]</f>
        <v>0</v>
      </c>
      <c r="E27" s="42">
        <f>SF.STOREPRIMARY[Physical Stock Bal.]</f>
        <v>5</v>
      </c>
      <c r="F27" s="139"/>
      <c r="G27" s="44">
        <f t="shared" si="1"/>
        <v>100205</v>
      </c>
      <c r="H27" s="43" t="str">
        <f>IF(Table2[[#This Row],[Quantity]]&gt;Table2[[#This Row],[Reorder Levels]],Table2[Item Description],"")</f>
        <v>Employee Registration 003</v>
      </c>
      <c r="I27" s="43" t="str">
        <f>IF(Table2[[#This Row],[Quantity]]&lt;=Table2[[#This Row],[Reorder Levels]],Table2[Item Description],"")</f>
        <v/>
      </c>
    </row>
    <row r="28" spans="1:9" ht="15" thickBot="1" x14ac:dyDescent="0.4">
      <c r="A28" s="35">
        <f t="shared" si="0"/>
        <v>100164</v>
      </c>
      <c r="B28" s="42" t="str">
        <f>IF(A28="","",VLOOKUP(A28,SF.STOREPRIMARY[],2,FALSE))</f>
        <v>Verification of Claim SF 87</v>
      </c>
      <c r="C28" s="42" t="str">
        <f>IF(A28="","",VLOOKUP(A28,'STOCK CONTROL SHEET'!Details,3,FALSE))</f>
        <v>PCS</v>
      </c>
      <c r="D28" s="42">
        <f>SF.STOREPRIMARY[Reorder Levels]</f>
        <v>3000</v>
      </c>
      <c r="E28" s="42">
        <f>SF.STOREPRIMARY[Physical Stock Bal.]</f>
        <v>36340</v>
      </c>
      <c r="F28" s="139"/>
      <c r="G28" s="44">
        <f t="shared" si="1"/>
        <v>100164</v>
      </c>
      <c r="H28" s="43" t="str">
        <f>IF(Table2[[#This Row],[Quantity]]&gt;Table2[[#This Row],[Reorder Levels]],Table2[Item Description],"")</f>
        <v>Verification of Claim SF 87</v>
      </c>
      <c r="I28" s="43" t="str">
        <f>IF(Table2[[#This Row],[Quantity]]&lt;=Table2[[#This Row],[Reorder Levels]],Table2[Item Description],"")</f>
        <v/>
      </c>
    </row>
    <row r="29" spans="1:9" ht="15" thickBot="1" x14ac:dyDescent="0.4">
      <c r="A29" s="35">
        <f t="shared" si="0"/>
        <v>100211</v>
      </c>
      <c r="B29" s="42" t="str">
        <f>IF(A29="","",VLOOKUP(A29,SF.STOREPRIMARY[],2,FALSE))</f>
        <v>Survivor Ben. Form</v>
      </c>
      <c r="C29" s="42" t="str">
        <f>IF(A29="","",VLOOKUP(A29,'STOCK CONTROL SHEET'!Details,3,FALSE))</f>
        <v>PCS</v>
      </c>
      <c r="D29" s="42">
        <f>SF.STOREPRIMARY[Reorder Levels]</f>
        <v>1500</v>
      </c>
      <c r="E29" s="42">
        <f>SF.STOREPRIMARY[Physical Stock Bal.]</f>
        <v>3500</v>
      </c>
      <c r="F29" s="139"/>
      <c r="G29" s="44">
        <f t="shared" si="1"/>
        <v>100211</v>
      </c>
      <c r="H29" s="43" t="str">
        <f>IF(Table2[[#This Row],[Quantity]]&gt;Table2[[#This Row],[Reorder Levels]],Table2[Item Description],"")</f>
        <v>Survivor Ben. Form</v>
      </c>
      <c r="I29" s="43" t="str">
        <f>IF(Table2[[#This Row],[Quantity]]&lt;=Table2[[#This Row],[Reorder Levels]],Table2[Item Description],"")</f>
        <v/>
      </c>
    </row>
    <row r="30" spans="1:9" ht="15" thickBot="1" x14ac:dyDescent="0.4">
      <c r="A30" s="35">
        <f t="shared" si="0"/>
        <v>100222</v>
      </c>
      <c r="B30" s="42" t="str">
        <f>IF(A30="","",VLOOKUP(A30,SF.STOREPRIMARY[],2,FALSE))</f>
        <v>Unsound Mind DF/007</v>
      </c>
      <c r="C30" s="42" t="str">
        <f>IF(A30="","",VLOOKUP(A30,'STOCK CONTROL SHEET'!Details,3,FALSE))</f>
        <v>PCS</v>
      </c>
      <c r="D30" s="42">
        <f>SF.STOREPRIMARY[Reorder Levels]</f>
        <v>0</v>
      </c>
      <c r="E30" s="42">
        <f>SF.STOREPRIMARY[Physical Stock Bal.]</f>
        <v>0</v>
      </c>
      <c r="F30" s="139"/>
      <c r="G30" s="44">
        <f t="shared" si="1"/>
        <v>100222</v>
      </c>
      <c r="H30" s="43" t="str">
        <f>IF(Table2[[#This Row],[Quantity]]&gt;Table2[[#This Row],[Reorder Levels]],Table2[Item Description],"")</f>
        <v/>
      </c>
      <c r="I30" s="43" t="str">
        <f>IF(Table2[[#This Row],[Quantity]]&lt;=Table2[[#This Row],[Reorder Levels]],Table2[Item Description],"")</f>
        <v>Unsound Mind DF/007</v>
      </c>
    </row>
    <row r="31" spans="1:9" ht="15" thickBot="1" x14ac:dyDescent="0.4">
      <c r="A31" s="35">
        <f t="shared" si="0"/>
        <v>26</v>
      </c>
      <c r="B31" s="42" t="str">
        <f>IF(A31="","",VLOOKUP(A31,SF.STOREPRIMARY[],2,FALSE))</f>
        <v>Plastic Bags A4</v>
      </c>
      <c r="C31" s="42" t="str">
        <f>IF(A31="","",VLOOKUP(A31,'STOCK CONTROL SHEET'!Details,3,FALSE))</f>
        <v>PCS</v>
      </c>
      <c r="D31" s="42">
        <f>SF.STOREPRIMARY[Reorder Levels]</f>
        <v>0</v>
      </c>
      <c r="E31" s="42">
        <f>SF.STOREPRIMARY[Physical Stock Bal.]</f>
        <v>68</v>
      </c>
      <c r="F31" s="139"/>
      <c r="G31" s="44">
        <f t="shared" si="1"/>
        <v>26</v>
      </c>
      <c r="H31" s="43" t="str">
        <f>IF(Table2[[#This Row],[Quantity]]&gt;Table2[[#This Row],[Reorder Levels]],Table2[Item Description],"")</f>
        <v>Plastic Bags A4</v>
      </c>
      <c r="I31" s="43" t="str">
        <f>IF(Table2[[#This Row],[Quantity]]&lt;=Table2[[#This Row],[Reorder Levels]],Table2[Item Description],"")</f>
        <v/>
      </c>
    </row>
    <row r="32" spans="1:9" ht="15" thickBot="1" x14ac:dyDescent="0.4">
      <c r="A32" s="35">
        <f t="shared" si="0"/>
        <v>27</v>
      </c>
      <c r="B32" s="42" t="str">
        <f>IF(A32="","",VLOOKUP(A32,SF.STOREPRIMARY[],2,FALSE))</f>
        <v>Plastic Bags A3</v>
      </c>
      <c r="C32" s="42" t="str">
        <f>IF(A32="","",VLOOKUP(A32,'STOCK CONTROL SHEET'!Details,3,FALSE))</f>
        <v>PCS</v>
      </c>
      <c r="D32" s="42">
        <f>SF.STOREPRIMARY[Reorder Levels]</f>
        <v>0</v>
      </c>
      <c r="E32" s="42">
        <f>SF.STOREPRIMARY[Physical Stock Bal.]</f>
        <v>1500</v>
      </c>
      <c r="F32" s="139"/>
      <c r="G32" s="44">
        <f t="shared" si="1"/>
        <v>27</v>
      </c>
      <c r="H32" s="43" t="str">
        <f>IF(Table2[[#This Row],[Quantity]]&gt;Table2[[#This Row],[Reorder Levels]],Table2[Item Description],"")</f>
        <v>Plastic Bags A3</v>
      </c>
      <c r="I32" s="43" t="str">
        <f>IF(Table2[[#This Row],[Quantity]]&lt;=Table2[[#This Row],[Reorder Levels]],Table2[Item Description],"")</f>
        <v/>
      </c>
    </row>
    <row r="33" spans="1:9" ht="15" thickBot="1" x14ac:dyDescent="0.4">
      <c r="A33" s="35">
        <f t="shared" si="0"/>
        <v>100181</v>
      </c>
      <c r="B33" s="42" t="str">
        <f>IF(A33="","",VLOOKUP(A33,SF.STOREPRIMARY[],2,FALSE))</f>
        <v>Registration Gen. Folders</v>
      </c>
      <c r="C33" s="42" t="str">
        <f>IF(A33="","",VLOOKUP(A33,'STOCK CONTROL SHEET'!Details,3,FALSE))</f>
        <v>PCS</v>
      </c>
      <c r="D33" s="42">
        <f>SF.STOREPRIMARY[Reorder Levels]</f>
        <v>9000</v>
      </c>
      <c r="E33" s="42">
        <f>SF.STOREPRIMARY[Physical Stock Bal.]</f>
        <v>20700</v>
      </c>
      <c r="F33" s="139"/>
      <c r="G33" s="44">
        <f t="shared" si="1"/>
        <v>100181</v>
      </c>
      <c r="H33" s="43" t="str">
        <f>IF(Table2[[#This Row],[Quantity]]&gt;Table2[[#This Row],[Reorder Levels]],Table2[Item Description],"")</f>
        <v>Registration Gen. Folders</v>
      </c>
      <c r="I33" s="43" t="str">
        <f>IF(Table2[[#This Row],[Quantity]]&lt;=Table2[[#This Row],[Reorder Levels]],Table2[Item Description],"")</f>
        <v/>
      </c>
    </row>
    <row r="34" spans="1:9" ht="15" thickBot="1" x14ac:dyDescent="0.4">
      <c r="A34" s="35">
        <f t="shared" si="0"/>
        <v>100213</v>
      </c>
      <c r="B34" s="42" t="str">
        <f>IF(A34="","",VLOOKUP(A34,SF.STOREPRIMARY[],2,FALSE))</f>
        <v>Schedule of Contribution</v>
      </c>
      <c r="C34" s="42" t="str">
        <f>IF(A34="","",VLOOKUP(A34,'STOCK CONTROL SHEET'!Details,3,FALSE))</f>
        <v>PCS</v>
      </c>
      <c r="D34" s="42">
        <f>SF.STOREPRIMARY[Reorder Levels]</f>
        <v>12500</v>
      </c>
      <c r="E34" s="42">
        <f>SF.STOREPRIMARY[Physical Stock Bal.]</f>
        <v>32298</v>
      </c>
      <c r="F34" s="139"/>
      <c r="G34" s="44">
        <f t="shared" si="1"/>
        <v>100213</v>
      </c>
      <c r="H34" s="43" t="str">
        <f>IF(Table2[[#This Row],[Quantity]]&gt;Table2[[#This Row],[Reorder Levels]],Table2[Item Description],"")</f>
        <v>Schedule of Contribution</v>
      </c>
      <c r="I34" s="43" t="str">
        <f>IF(Table2[[#This Row],[Quantity]]&lt;=Table2[[#This Row],[Reorder Levels]],Table2[Item Description],"")</f>
        <v/>
      </c>
    </row>
    <row r="35" spans="1:9" ht="15" thickBot="1" x14ac:dyDescent="0.4">
      <c r="A35" s="35">
        <f t="shared" si="0"/>
        <v>100177</v>
      </c>
      <c r="B35" s="42" t="str">
        <f>IF(A35="","",VLOOKUP(A35,SF.STOREPRIMARY[],2,FALSE))</f>
        <v>Survivor Benefit Folders</v>
      </c>
      <c r="C35" s="42" t="str">
        <f>IF(A35="","",VLOOKUP(A35,'STOCK CONTROL SHEET'!Details,3,FALSE))</f>
        <v>PCS</v>
      </c>
      <c r="D35" s="42">
        <f>SF.STOREPRIMARY[Reorder Levels]</f>
        <v>1250</v>
      </c>
      <c r="E35" s="42">
        <f>SF.STOREPRIMARY[Physical Stock Bal.]</f>
        <v>679</v>
      </c>
      <c r="F35" s="139"/>
      <c r="G35" s="44">
        <f t="shared" si="1"/>
        <v>100177</v>
      </c>
      <c r="H35" s="43" t="str">
        <f>IF(Table2[[#This Row],[Quantity]]&gt;Table2[[#This Row],[Reorder Levels]],Table2[Item Description],"")</f>
        <v/>
      </c>
      <c r="I35" s="43" t="str">
        <f>IF(Table2[[#This Row],[Quantity]]&lt;=Table2[[#This Row],[Reorder Levels]],Table2[Item Description],"")</f>
        <v>Survivor Benefit Folders</v>
      </c>
    </row>
    <row r="36" spans="1:9" ht="15" thickBot="1" x14ac:dyDescent="0.4">
      <c r="A36" s="35">
        <f t="shared" si="0"/>
        <v>100159</v>
      </c>
      <c r="B36" s="42" t="str">
        <f>IF(A36="","",VLOOKUP(A36,SF.STOREPRIMARY[],2,FALSE))</f>
        <v>Union Medical Cover Folders</v>
      </c>
      <c r="C36" s="42" t="str">
        <f>IF(A36="","",VLOOKUP(A36,'STOCK CONTROL SHEET'!Details,3,FALSE))</f>
        <v>PCS</v>
      </c>
      <c r="D36" s="42">
        <f>SF.STOREPRIMARY[Reorder Levels]</f>
        <v>0</v>
      </c>
      <c r="E36" s="42">
        <f>SF.STOREPRIMARY[Physical Stock Bal.]</f>
        <v>159</v>
      </c>
      <c r="F36" s="139"/>
      <c r="G36" s="44">
        <f t="shared" si="1"/>
        <v>100159</v>
      </c>
      <c r="H36" s="43" t="str">
        <f>IF(Table2[[#This Row],[Quantity]]&gt;Table2[[#This Row],[Reorder Levels]],Table2[Item Description],"")</f>
        <v>Union Medical Cover Folders</v>
      </c>
      <c r="I36" s="43" t="str">
        <f>IF(Table2[[#This Row],[Quantity]]&lt;=Table2[[#This Row],[Reorder Levels]],Table2[Item Description],"")</f>
        <v/>
      </c>
    </row>
    <row r="37" spans="1:9" ht="15" thickBot="1" x14ac:dyDescent="0.4">
      <c r="A37" s="35">
        <f t="shared" si="0"/>
        <v>100150</v>
      </c>
      <c r="B37" s="42" t="str">
        <f>IF(A37="","",VLOOKUP(A37,SF.STOREPRIMARY[],2,FALSE))</f>
        <v>SF/219 Forms</v>
      </c>
      <c r="C37" s="42" t="str">
        <f>IF(A37="","",VLOOKUP(A37,'STOCK CONTROL SHEET'!Details,3,FALSE))</f>
        <v>PCS</v>
      </c>
      <c r="D37" s="42">
        <f>SF.STOREPRIMARY[Reorder Levels]</f>
        <v>0</v>
      </c>
      <c r="E37" s="42">
        <f>SF.STOREPRIMARY[Physical Stock Bal.]</f>
        <v>4225</v>
      </c>
      <c r="F37" s="139"/>
      <c r="G37" s="44">
        <f t="shared" si="1"/>
        <v>100150</v>
      </c>
      <c r="H37" s="43" t="str">
        <f>IF(Table2[[#This Row],[Quantity]]&gt;Table2[[#This Row],[Reorder Levels]],Table2[Item Description],"")</f>
        <v>SF/219 Forms</v>
      </c>
      <c r="I37" s="43" t="str">
        <f>IF(Table2[[#This Row],[Quantity]]&lt;=Table2[[#This Row],[Reorder Levels]],Table2[Item Description],"")</f>
        <v/>
      </c>
    </row>
    <row r="38" spans="1:9" ht="15" thickBot="1" x14ac:dyDescent="0.4">
      <c r="A38" s="35">
        <f t="shared" si="0"/>
        <v>100127</v>
      </c>
      <c r="B38" s="42" t="str">
        <f>IF(A38="","",VLOOKUP(A38,SF.STOREPRIMARY[],2,FALSE))</f>
        <v>Withdrawal Ben. Folders</v>
      </c>
      <c r="C38" s="42" t="str">
        <f>IF(A38="","",VLOOKUP(A38,'STOCK CONTROL SHEET'!Details,3,FALSE))</f>
        <v>PCS</v>
      </c>
      <c r="D38" s="42">
        <f>SF.STOREPRIMARY[Reorder Levels]</f>
        <v>5000</v>
      </c>
      <c r="E38" s="42">
        <f>SF.STOREPRIMARY[Physical Stock Bal.]</f>
        <v>750</v>
      </c>
      <c r="F38" s="140"/>
      <c r="G38" s="44">
        <f t="shared" si="1"/>
        <v>100127</v>
      </c>
      <c r="H38" s="43" t="str">
        <f>IF(Table2[[#This Row],[Quantity]]&gt;Table2[[#This Row],[Reorder Levels]],Table2[Item Description],"")</f>
        <v/>
      </c>
      <c r="I38" s="43" t="str">
        <f>IF(Table2[[#This Row],[Quantity]]&lt;=Table2[[#This Row],[Reorder Levels]],Table2[Item Description],"")</f>
        <v>Withdrawal Ben. Folders</v>
      </c>
    </row>
    <row r="39" spans="1:9" ht="15" thickBot="1" x14ac:dyDescent="0.4">
      <c r="A39" s="35">
        <f t="shared" ref="A39:A70" si="2">COMPMaterialNo</f>
        <v>100172</v>
      </c>
      <c r="B39" s="42" t="str">
        <f t="shared" ref="B39:B70" si="3">IF(A39="","",VLOOKUP(A39,COMP.STOREPRIMARY,2,FALSE))</f>
        <v>1 Part Statement Paper</v>
      </c>
      <c r="C39" s="42" t="str">
        <f>IF(A39="","",VLOOKUP(A39,'STOCK CONTROL SHEET'!Details,3,FALSE))</f>
        <v>PCS</v>
      </c>
      <c r="D39" s="42">
        <f t="shared" ref="D39:D70" si="4">COMP.STOREReorderLevels</f>
        <v>150000</v>
      </c>
      <c r="E39" s="42">
        <f t="shared" ref="E39:E70" si="5">COMP.STOREPhysicalBal.</f>
        <v>235000</v>
      </c>
      <c r="F39" s="143" t="s">
        <v>190</v>
      </c>
      <c r="G39" s="44">
        <f t="shared" ref="G39:G70" si="6">COMPMaterialNo</f>
        <v>100172</v>
      </c>
      <c r="H39" s="43" t="str">
        <f>IF(Table2[[#This Row],[Quantity]]&gt;Table2[[#This Row],[Reorder Levels]],Table2[Item Description],"")</f>
        <v>1 Part Statement Paper</v>
      </c>
      <c r="I39" s="43" t="str">
        <f>IF(Table2[[#This Row],[Quantity]]&lt;=Table2[[#This Row],[Reorder Levels]],Table2[Item Description],"")</f>
        <v/>
      </c>
    </row>
    <row r="40" spans="1:9" ht="15" thickBot="1" x14ac:dyDescent="0.4">
      <c r="A40" s="35">
        <f t="shared" si="2"/>
        <v>41</v>
      </c>
      <c r="B40" s="42" t="str">
        <f t="shared" si="3"/>
        <v>Tonner Kit TK-8525 (Magenta)</v>
      </c>
      <c r="C40" s="42" t="str">
        <f>IF(A40="","",VLOOKUP(A40,'STOCK CONTROL SHEET'!Details,3,FALSE))</f>
        <v>NO</v>
      </c>
      <c r="D40" s="42">
        <f t="shared" si="4"/>
        <v>0</v>
      </c>
      <c r="E40" s="42">
        <f t="shared" si="5"/>
        <v>0</v>
      </c>
      <c r="F40" s="144"/>
      <c r="G40" s="44">
        <f t="shared" si="6"/>
        <v>41</v>
      </c>
      <c r="H40" s="43" t="str">
        <f>IF(Table2[[#This Row],[Quantity]]&gt;Table2[[#This Row],[Reorder Levels]],Table2[Item Description],"")</f>
        <v/>
      </c>
      <c r="I40" s="43" t="str">
        <f>IF(Table2[[#This Row],[Quantity]]&lt;=Table2[[#This Row],[Reorder Levels]],Table2[Item Description],"")</f>
        <v>Tonner Kit TK-8525 (Magenta)</v>
      </c>
    </row>
    <row r="41" spans="1:9" ht="15" thickBot="1" x14ac:dyDescent="0.4">
      <c r="A41" s="35">
        <f t="shared" si="2"/>
        <v>0</v>
      </c>
      <c r="B41" s="42" t="e">
        <f t="shared" si="3"/>
        <v>#N/A</v>
      </c>
      <c r="C41" s="42" t="e">
        <f>IF(A41="","",VLOOKUP(A41,'STOCK CONTROL SHEET'!Details,3,FALSE))</f>
        <v>#N/A</v>
      </c>
      <c r="D41" s="42">
        <f t="shared" si="4"/>
        <v>0</v>
      </c>
      <c r="E41" s="42">
        <f t="shared" si="5"/>
        <v>3</v>
      </c>
      <c r="F41" s="144"/>
      <c r="G41" s="44">
        <f t="shared" si="6"/>
        <v>0</v>
      </c>
      <c r="H41" s="43" t="e">
        <f>IF(Table2[[#This Row],[Quantity]]&gt;Table2[[#This Row],[Reorder Levels]],Table2[Item Description],"")</f>
        <v>#N/A</v>
      </c>
      <c r="I41" s="43" t="str">
        <f>IF(Table2[[#This Row],[Quantity]]&lt;=Table2[[#This Row],[Reorder Levels]],Table2[Item Description],"")</f>
        <v/>
      </c>
    </row>
    <row r="42" spans="1:9" ht="15" thickBot="1" x14ac:dyDescent="0.4">
      <c r="A42" s="35">
        <f t="shared" si="2"/>
        <v>0</v>
      </c>
      <c r="B42" s="42" t="e">
        <f t="shared" si="3"/>
        <v>#N/A</v>
      </c>
      <c r="C42" s="42" t="e">
        <f>IF(A42="","",VLOOKUP(A42,'STOCK CONTROL SHEET'!Details,3,FALSE))</f>
        <v>#N/A</v>
      </c>
      <c r="D42" s="42">
        <f t="shared" si="4"/>
        <v>0</v>
      </c>
      <c r="E42" s="42">
        <f t="shared" si="5"/>
        <v>1</v>
      </c>
      <c r="F42" s="144"/>
      <c r="G42" s="44">
        <f t="shared" si="6"/>
        <v>0</v>
      </c>
      <c r="H42" s="43" t="e">
        <f>IF(Table2[[#This Row],[Quantity]]&gt;Table2[[#This Row],[Reorder Levels]],Table2[Item Description],"")</f>
        <v>#N/A</v>
      </c>
      <c r="I42" s="43" t="str">
        <f>IF(Table2[[#This Row],[Quantity]]&lt;=Table2[[#This Row],[Reorder Levels]],Table2[Item Description],"")</f>
        <v/>
      </c>
    </row>
    <row r="43" spans="1:9" ht="15" thickBot="1" x14ac:dyDescent="0.4">
      <c r="A43" s="35">
        <f t="shared" si="2"/>
        <v>0</v>
      </c>
      <c r="B43" s="42" t="e">
        <f t="shared" si="3"/>
        <v>#N/A</v>
      </c>
      <c r="C43" s="42" t="e">
        <f>IF(A43="","",VLOOKUP(A43,'STOCK CONTROL SHEET'!Details,3,FALSE))</f>
        <v>#N/A</v>
      </c>
      <c r="D43" s="42">
        <f t="shared" si="4"/>
        <v>0</v>
      </c>
      <c r="E43" s="42">
        <f t="shared" si="5"/>
        <v>5</v>
      </c>
      <c r="F43" s="144"/>
      <c r="G43" s="44">
        <f t="shared" si="6"/>
        <v>0</v>
      </c>
      <c r="H43" s="43" t="e">
        <f>IF(Table2[[#This Row],[Quantity]]&gt;Table2[[#This Row],[Reorder Levels]],Table2[Item Description],"")</f>
        <v>#N/A</v>
      </c>
      <c r="I43" s="43" t="str">
        <f>IF(Table2[[#This Row],[Quantity]]&lt;=Table2[[#This Row],[Reorder Levels]],Table2[Item Description],"")</f>
        <v/>
      </c>
    </row>
    <row r="44" spans="1:9" ht="15" thickBot="1" x14ac:dyDescent="0.4">
      <c r="A44" s="35">
        <f t="shared" si="2"/>
        <v>0</v>
      </c>
      <c r="B44" s="42" t="e">
        <f t="shared" si="3"/>
        <v>#N/A</v>
      </c>
      <c r="C44" s="42" t="e">
        <f>IF(A44="","",VLOOKUP(A44,'STOCK CONTROL SHEET'!Details,3,FALSE))</f>
        <v>#N/A</v>
      </c>
      <c r="D44" s="42">
        <f t="shared" si="4"/>
        <v>0</v>
      </c>
      <c r="E44" s="42">
        <f t="shared" si="5"/>
        <v>7</v>
      </c>
      <c r="F44" s="144"/>
      <c r="G44" s="44">
        <f t="shared" si="6"/>
        <v>0</v>
      </c>
      <c r="H44" s="43" t="e">
        <f>IF(Table2[[#This Row],[Quantity]]&gt;Table2[[#This Row],[Reorder Levels]],Table2[Item Description],"")</f>
        <v>#N/A</v>
      </c>
      <c r="I44" s="43" t="str">
        <f>IF(Table2[[#This Row],[Quantity]]&lt;=Table2[[#This Row],[Reorder Levels]],Table2[Item Description],"")</f>
        <v/>
      </c>
    </row>
    <row r="45" spans="1:9" ht="15" thickBot="1" x14ac:dyDescent="0.4">
      <c r="A45" s="35">
        <f t="shared" si="2"/>
        <v>0</v>
      </c>
      <c r="B45" s="42" t="e">
        <f t="shared" si="3"/>
        <v>#N/A</v>
      </c>
      <c r="C45" s="42" t="e">
        <f>IF(A45="","",VLOOKUP(A45,'STOCK CONTROL SHEET'!Details,3,FALSE))</f>
        <v>#N/A</v>
      </c>
      <c r="D45" s="42">
        <f t="shared" si="4"/>
        <v>0</v>
      </c>
      <c r="E45" s="42">
        <f t="shared" si="5"/>
        <v>6</v>
      </c>
      <c r="F45" s="144"/>
      <c r="G45" s="44">
        <f t="shared" si="6"/>
        <v>0</v>
      </c>
      <c r="H45" s="43" t="e">
        <f>IF(Table2[[#This Row],[Quantity]]&gt;Table2[[#This Row],[Reorder Levels]],Table2[Item Description],"")</f>
        <v>#N/A</v>
      </c>
      <c r="I45" s="43" t="str">
        <f>IF(Table2[[#This Row],[Quantity]]&lt;=Table2[[#This Row],[Reorder Levels]],Table2[Item Description],"")</f>
        <v/>
      </c>
    </row>
    <row r="46" spans="1:9" ht="15" thickBot="1" x14ac:dyDescent="0.4">
      <c r="A46" s="35">
        <f t="shared" si="2"/>
        <v>100229</v>
      </c>
      <c r="B46" s="42" t="str">
        <f t="shared" si="3"/>
        <v>2 PP NCR Carbonated</v>
      </c>
      <c r="C46" s="42" t="str">
        <f>IF(A46="","",VLOOKUP(A46,'STOCK CONTROL SHEET'!Details,3,FALSE))</f>
        <v>PCS</v>
      </c>
      <c r="D46" s="42">
        <f t="shared" si="4"/>
        <v>150000</v>
      </c>
      <c r="E46" s="42">
        <f t="shared" si="5"/>
        <v>230000</v>
      </c>
      <c r="F46" s="144"/>
      <c r="G46" s="44">
        <f t="shared" si="6"/>
        <v>100229</v>
      </c>
      <c r="H46" s="43" t="str">
        <f>IF(Table2[[#This Row],[Quantity]]&gt;Table2[[#This Row],[Reorder Levels]],Table2[Item Description],"")</f>
        <v>2 PP NCR Carbonated</v>
      </c>
      <c r="I46" s="43" t="str">
        <f>IF(Table2[[#This Row],[Quantity]]&lt;=Table2[[#This Row],[Reorder Levels]],Table2[Item Description],"")</f>
        <v/>
      </c>
    </row>
    <row r="47" spans="1:9" ht="15" thickBot="1" x14ac:dyDescent="0.4">
      <c r="A47" s="35">
        <f t="shared" si="2"/>
        <v>200033</v>
      </c>
      <c r="B47" s="42" t="str">
        <f t="shared" si="3"/>
        <v>Epson Ribbon 2180</v>
      </c>
      <c r="C47" s="42" t="str">
        <f>IF(A47="","",VLOOKUP(A47,'STOCK CONTROL SHEET'!Details,3,FALSE))</f>
        <v>PCS</v>
      </c>
      <c r="D47" s="42">
        <f t="shared" si="4"/>
        <v>0</v>
      </c>
      <c r="E47" s="42">
        <f t="shared" si="5"/>
        <v>53</v>
      </c>
      <c r="F47" s="144"/>
      <c r="G47" s="44">
        <f t="shared" si="6"/>
        <v>200033</v>
      </c>
      <c r="H47" s="43" t="str">
        <f>IF(Table2[[#This Row],[Quantity]]&gt;Table2[[#This Row],[Reorder Levels]],Table2[Item Description],"")</f>
        <v>Epson Ribbon 2180</v>
      </c>
      <c r="I47" s="43" t="str">
        <f>IF(Table2[[#This Row],[Quantity]]&lt;=Table2[[#This Row],[Reorder Levels]],Table2[Item Description],"")</f>
        <v/>
      </c>
    </row>
    <row r="48" spans="1:9" ht="15" thickBot="1" x14ac:dyDescent="0.4">
      <c r="A48" s="35">
        <f t="shared" si="2"/>
        <v>37</v>
      </c>
      <c r="B48" s="42" t="str">
        <f t="shared" si="3"/>
        <v>Epson EB Projector/amp</v>
      </c>
      <c r="C48" s="42" t="str">
        <f>IF(A48="","",VLOOKUP(A48,'STOCK CONTROL SHEET'!Details,3,FALSE))</f>
        <v>NO</v>
      </c>
      <c r="D48" s="42">
        <f t="shared" si="4"/>
        <v>0</v>
      </c>
      <c r="E48" s="42">
        <f t="shared" si="5"/>
        <v>0</v>
      </c>
      <c r="F48" s="144"/>
      <c r="G48" s="44">
        <f t="shared" si="6"/>
        <v>37</v>
      </c>
      <c r="H48" s="43" t="str">
        <f>IF(Table2[[#This Row],[Quantity]]&gt;Table2[[#This Row],[Reorder Levels]],Table2[Item Description],"")</f>
        <v/>
      </c>
      <c r="I48" s="43" t="str">
        <f>IF(Table2[[#This Row],[Quantity]]&lt;=Table2[[#This Row],[Reorder Levels]],Table2[Item Description],"")</f>
        <v>Epson EB Projector/amp</v>
      </c>
    </row>
    <row r="49" spans="1:9" ht="15" thickBot="1" x14ac:dyDescent="0.4">
      <c r="A49" s="35">
        <f t="shared" si="2"/>
        <v>200033</v>
      </c>
      <c r="B49" s="42" t="str">
        <f t="shared" si="3"/>
        <v>Epson Ribbon 2180</v>
      </c>
      <c r="C49" s="42" t="str">
        <f>IF(A49="","",VLOOKUP(A49,'STOCK CONTROL SHEET'!Details,3,FALSE))</f>
        <v>PCS</v>
      </c>
      <c r="D49" s="42">
        <f t="shared" si="4"/>
        <v>0</v>
      </c>
      <c r="E49" s="42">
        <f t="shared" si="5"/>
        <v>11</v>
      </c>
      <c r="F49" s="144"/>
      <c r="G49" s="44">
        <f t="shared" si="6"/>
        <v>200033</v>
      </c>
      <c r="H49" s="43" t="str">
        <f>IF(Table2[[#This Row],[Quantity]]&gt;Table2[[#This Row],[Reorder Levels]],Table2[Item Description],"")</f>
        <v>Epson Ribbon 2180</v>
      </c>
      <c r="I49" s="43" t="str">
        <f>IF(Table2[[#This Row],[Quantity]]&lt;=Table2[[#This Row],[Reorder Levels]],Table2[Item Description],"")</f>
        <v/>
      </c>
    </row>
    <row r="50" spans="1:9" ht="15" thickBot="1" x14ac:dyDescent="0.4">
      <c r="A50" s="35">
        <f t="shared" si="2"/>
        <v>0</v>
      </c>
      <c r="B50" s="42" t="e">
        <f t="shared" si="3"/>
        <v>#N/A</v>
      </c>
      <c r="C50" s="42" t="e">
        <f>IF(A50="","",VLOOKUP(A50,'STOCK CONTROL SHEET'!Details,3,FALSE))</f>
        <v>#N/A</v>
      </c>
      <c r="D50" s="42">
        <f t="shared" si="4"/>
        <v>0</v>
      </c>
      <c r="E50" s="42">
        <f t="shared" si="5"/>
        <v>9</v>
      </c>
      <c r="F50" s="144"/>
      <c r="G50" s="44">
        <f t="shared" si="6"/>
        <v>0</v>
      </c>
      <c r="H50" s="43" t="e">
        <f>IF(Table2[[#This Row],[Quantity]]&gt;Table2[[#This Row],[Reorder Levels]],Table2[Item Description],"")</f>
        <v>#N/A</v>
      </c>
      <c r="I50" s="43" t="str">
        <f>IF(Table2[[#This Row],[Quantity]]&lt;=Table2[[#This Row],[Reorder Levels]],Table2[Item Description],"")</f>
        <v/>
      </c>
    </row>
    <row r="51" spans="1:9" ht="15" thickBot="1" x14ac:dyDescent="0.4">
      <c r="A51" s="35">
        <f t="shared" si="2"/>
        <v>0</v>
      </c>
      <c r="B51" s="42" t="e">
        <f t="shared" si="3"/>
        <v>#N/A</v>
      </c>
      <c r="C51" s="42" t="e">
        <f>IF(A51="","",VLOOKUP(A51,'STOCK CONTROL SHEET'!Details,3,FALSE))</f>
        <v>#N/A</v>
      </c>
      <c r="D51" s="42">
        <f t="shared" si="4"/>
        <v>0</v>
      </c>
      <c r="E51" s="42">
        <f t="shared" si="5"/>
        <v>6</v>
      </c>
      <c r="F51" s="144"/>
      <c r="G51" s="44">
        <f t="shared" si="6"/>
        <v>0</v>
      </c>
      <c r="H51" s="43" t="e">
        <f>IF(Table2[[#This Row],[Quantity]]&gt;Table2[[#This Row],[Reorder Levels]],Table2[Item Description],"")</f>
        <v>#N/A</v>
      </c>
      <c r="I51" s="43" t="str">
        <f>IF(Table2[[#This Row],[Quantity]]&lt;=Table2[[#This Row],[Reorder Levels]],Table2[Item Description],"")</f>
        <v/>
      </c>
    </row>
    <row r="52" spans="1:9" ht="15" thickBot="1" x14ac:dyDescent="0.4">
      <c r="A52" s="35">
        <f t="shared" si="2"/>
        <v>0</v>
      </c>
      <c r="B52" s="42" t="e">
        <f t="shared" si="3"/>
        <v>#N/A</v>
      </c>
      <c r="C52" s="42" t="e">
        <f>IF(A52="","",VLOOKUP(A52,'STOCK CONTROL SHEET'!Details,3,FALSE))</f>
        <v>#N/A</v>
      </c>
      <c r="D52" s="42">
        <f t="shared" si="4"/>
        <v>0</v>
      </c>
      <c r="E52" s="42">
        <f t="shared" si="5"/>
        <v>19</v>
      </c>
      <c r="F52" s="144"/>
      <c r="G52" s="44">
        <f t="shared" si="6"/>
        <v>0</v>
      </c>
      <c r="H52" s="43" t="e">
        <f>IF(Table2[[#This Row],[Quantity]]&gt;Table2[[#This Row],[Reorder Levels]],Table2[Item Description],"")</f>
        <v>#N/A</v>
      </c>
      <c r="I52" s="43" t="str">
        <f>IF(Table2[[#This Row],[Quantity]]&lt;=Table2[[#This Row],[Reorder Levels]],Table2[Item Description],"")</f>
        <v/>
      </c>
    </row>
    <row r="53" spans="1:9" ht="15" thickBot="1" x14ac:dyDescent="0.4">
      <c r="A53" s="35">
        <f t="shared" si="2"/>
        <v>200024</v>
      </c>
      <c r="B53" s="42" t="str">
        <f t="shared" si="3"/>
        <v>Epson DFX 5000 Ribbon(8766)</v>
      </c>
      <c r="C53" s="42" t="str">
        <f>IF(A53="","",VLOOKUP(A53,'STOCK CONTROL SHEET'!Details,3,FALSE))</f>
        <v>PCS</v>
      </c>
      <c r="D53" s="42">
        <f t="shared" si="4"/>
        <v>0</v>
      </c>
      <c r="E53" s="42">
        <f t="shared" si="5"/>
        <v>7</v>
      </c>
      <c r="F53" s="144"/>
      <c r="G53" s="44">
        <f t="shared" si="6"/>
        <v>200024</v>
      </c>
      <c r="H53" s="43" t="str">
        <f>IF(Table2[[#This Row],[Quantity]]&gt;Table2[[#This Row],[Reorder Levels]],Table2[Item Description],"")</f>
        <v>Epson DFX 5000 Ribbon(8766)</v>
      </c>
      <c r="I53" s="43" t="str">
        <f>IF(Table2[[#This Row],[Quantity]]&lt;=Table2[[#This Row],[Reorder Levels]],Table2[Item Description],"")</f>
        <v/>
      </c>
    </row>
    <row r="54" spans="1:9" ht="15" thickBot="1" x14ac:dyDescent="0.4">
      <c r="A54" s="35">
        <f t="shared" si="2"/>
        <v>200031</v>
      </c>
      <c r="B54" s="42" t="str">
        <f t="shared" si="3"/>
        <v>Epson Ribbon LX 300 (8750)</v>
      </c>
      <c r="C54" s="42" t="str">
        <f>IF(A54="","",VLOOKUP(A54,'STOCK CONTROL SHEET'!Details,3,FALSE))</f>
        <v>NO</v>
      </c>
      <c r="D54" s="42">
        <f t="shared" si="4"/>
        <v>2</v>
      </c>
      <c r="E54" s="42">
        <f t="shared" si="5"/>
        <v>5</v>
      </c>
      <c r="F54" s="144"/>
      <c r="G54" s="44">
        <f t="shared" si="6"/>
        <v>200031</v>
      </c>
      <c r="H54" s="43" t="str">
        <f>IF(Table2[[#This Row],[Quantity]]&gt;Table2[[#This Row],[Reorder Levels]],Table2[Item Description],"")</f>
        <v>Epson Ribbon LX 300 (8750)</v>
      </c>
      <c r="I54" s="43" t="str">
        <f>IF(Table2[[#This Row],[Quantity]]&lt;=Table2[[#This Row],[Reorder Levels]],Table2[Item Description],"")</f>
        <v/>
      </c>
    </row>
    <row r="55" spans="1:9" ht="15" thickBot="1" x14ac:dyDescent="0.4">
      <c r="A55" s="35">
        <f t="shared" si="2"/>
        <v>0</v>
      </c>
      <c r="B55" s="42" t="e">
        <f t="shared" si="3"/>
        <v>#N/A</v>
      </c>
      <c r="C55" s="42" t="e">
        <f>IF(A55="","",VLOOKUP(A55,'STOCK CONTROL SHEET'!Details,3,FALSE))</f>
        <v>#N/A</v>
      </c>
      <c r="D55" s="42">
        <f t="shared" si="4"/>
        <v>0</v>
      </c>
      <c r="E55" s="42">
        <f t="shared" si="5"/>
        <v>1</v>
      </c>
      <c r="F55" s="144"/>
      <c r="G55" s="44">
        <f t="shared" si="6"/>
        <v>0</v>
      </c>
      <c r="H55" s="43" t="e">
        <f>IF(Table2[[#This Row],[Quantity]]&gt;Table2[[#This Row],[Reorder Levels]],Table2[Item Description],"")</f>
        <v>#N/A</v>
      </c>
      <c r="I55" s="43" t="str">
        <f>IF(Table2[[#This Row],[Quantity]]&lt;=Table2[[#This Row],[Reorder Levels]],Table2[Item Description],"")</f>
        <v/>
      </c>
    </row>
    <row r="56" spans="1:9" ht="15" thickBot="1" x14ac:dyDescent="0.4">
      <c r="A56" s="35">
        <f t="shared" si="2"/>
        <v>200030</v>
      </c>
      <c r="B56" s="42" t="str">
        <f t="shared" si="3"/>
        <v>Epson DFX 9000</v>
      </c>
      <c r="C56" s="42" t="str">
        <f>IF(A56="","",VLOOKUP(A56,'STOCK CONTROL SHEET'!Details,3,FALSE))</f>
        <v>NO</v>
      </c>
      <c r="D56" s="42">
        <f t="shared" si="4"/>
        <v>0</v>
      </c>
      <c r="E56" s="42">
        <f t="shared" si="5"/>
        <v>8</v>
      </c>
      <c r="F56" s="144"/>
      <c r="G56" s="44">
        <f t="shared" si="6"/>
        <v>200030</v>
      </c>
      <c r="H56" s="43" t="str">
        <f>IF(Table2[[#This Row],[Quantity]]&gt;Table2[[#This Row],[Reorder Levels]],Table2[Item Description],"")</f>
        <v>Epson DFX 9000</v>
      </c>
      <c r="I56" s="43" t="str">
        <f>IF(Table2[[#This Row],[Quantity]]&lt;=Table2[[#This Row],[Reorder Levels]],Table2[Item Description],"")</f>
        <v/>
      </c>
    </row>
    <row r="57" spans="1:9" ht="15" thickBot="1" x14ac:dyDescent="0.4">
      <c r="A57" s="35">
        <f t="shared" si="2"/>
        <v>200067</v>
      </c>
      <c r="B57" s="42" t="str">
        <f t="shared" si="3"/>
        <v>Epson Ribbon LQ 690 (Black)</v>
      </c>
      <c r="C57" s="42" t="str">
        <f>IF(A57="","",VLOOKUP(A57,'STOCK CONTROL SHEET'!Details,3,FALSE))</f>
        <v>NO</v>
      </c>
      <c r="D57" s="42">
        <f t="shared" si="4"/>
        <v>9</v>
      </c>
      <c r="E57" s="42">
        <f t="shared" si="5"/>
        <v>0</v>
      </c>
      <c r="F57" s="144"/>
      <c r="G57" s="44">
        <f t="shared" si="6"/>
        <v>200067</v>
      </c>
      <c r="H57" s="43" t="str">
        <f>IF(Table2[[#This Row],[Quantity]]&gt;Table2[[#This Row],[Reorder Levels]],Table2[Item Description],"")</f>
        <v/>
      </c>
      <c r="I57" s="43" t="str">
        <f>IF(Table2[[#This Row],[Quantity]]&lt;=Table2[[#This Row],[Reorder Levels]],Table2[Item Description],"")</f>
        <v>Epson Ribbon LQ 690 (Black)</v>
      </c>
    </row>
    <row r="58" spans="1:9" ht="15" thickBot="1" x14ac:dyDescent="0.4">
      <c r="A58" s="35">
        <f t="shared" si="2"/>
        <v>200034</v>
      </c>
      <c r="B58" s="42" t="str">
        <f t="shared" si="3"/>
        <v>Epson Ribbon LX 2090 FX</v>
      </c>
      <c r="C58" s="42" t="str">
        <f>IF(A58="","",VLOOKUP(A58,'STOCK CONTROL SHEET'!Details,3,FALSE))</f>
        <v>NO</v>
      </c>
      <c r="D58" s="42">
        <f t="shared" si="4"/>
        <v>0</v>
      </c>
      <c r="E58" s="42">
        <f t="shared" si="5"/>
        <v>0</v>
      </c>
      <c r="F58" s="144"/>
      <c r="G58" s="44">
        <f t="shared" si="6"/>
        <v>200034</v>
      </c>
      <c r="H58" s="43" t="str">
        <f>IF(Table2[[#This Row],[Quantity]]&gt;Table2[[#This Row],[Reorder Levels]],Table2[Item Description],"")</f>
        <v/>
      </c>
      <c r="I58" s="43" t="str">
        <f>IF(Table2[[#This Row],[Quantity]]&lt;=Table2[[#This Row],[Reorder Levels]],Table2[Item Description],"")</f>
        <v>Epson Ribbon LX 2090 FX</v>
      </c>
    </row>
    <row r="59" spans="1:9" ht="15" thickBot="1" x14ac:dyDescent="0.4">
      <c r="A59" s="35">
        <f t="shared" si="2"/>
        <v>200070</v>
      </c>
      <c r="B59" s="42" t="str">
        <f t="shared" si="3"/>
        <v>HP Laserjet Tonner 237A Black</v>
      </c>
      <c r="C59" s="42" t="str">
        <f>IF(A59="","",VLOOKUP(A59,'STOCK CONTROL SHEET'!Details,3,FALSE))</f>
        <v>NO</v>
      </c>
      <c r="D59" s="42">
        <f t="shared" si="4"/>
        <v>8</v>
      </c>
      <c r="E59" s="42">
        <f t="shared" si="5"/>
        <v>14</v>
      </c>
      <c r="F59" s="144"/>
      <c r="G59" s="44">
        <f t="shared" si="6"/>
        <v>200070</v>
      </c>
      <c r="H59" s="43" t="str">
        <f>IF(Table2[[#This Row],[Quantity]]&gt;Table2[[#This Row],[Reorder Levels]],Table2[Item Description],"")</f>
        <v>HP Laserjet Tonner 237A Black</v>
      </c>
      <c r="I59" s="43" t="str">
        <f>IF(Table2[[#This Row],[Quantity]]&lt;=Table2[[#This Row],[Reorder Levels]],Table2[Item Description],"")</f>
        <v/>
      </c>
    </row>
    <row r="60" spans="1:9" ht="15" thickBot="1" x14ac:dyDescent="0.4">
      <c r="A60" s="35">
        <f t="shared" si="2"/>
        <v>200066</v>
      </c>
      <c r="B60" s="42" t="str">
        <f t="shared" si="3"/>
        <v>HP Laserjet Tonner 130A (Magenta)</v>
      </c>
      <c r="C60" s="42" t="str">
        <f>IF(A60="","",VLOOKUP(A60,'STOCK CONTROL SHEET'!Details,3,FALSE))</f>
        <v>NO</v>
      </c>
      <c r="D60" s="42">
        <f t="shared" si="4"/>
        <v>1</v>
      </c>
      <c r="E60" s="42">
        <f t="shared" si="5"/>
        <v>0</v>
      </c>
      <c r="F60" s="144"/>
      <c r="G60" s="44">
        <f t="shared" si="6"/>
        <v>200066</v>
      </c>
      <c r="H60" s="43" t="str">
        <f>IF(Table2[[#This Row],[Quantity]]&gt;Table2[[#This Row],[Reorder Levels]],Table2[Item Description],"")</f>
        <v/>
      </c>
      <c r="I60" s="43" t="str">
        <f>IF(Table2[[#This Row],[Quantity]]&lt;=Table2[[#This Row],[Reorder Levels]],Table2[Item Description],"")</f>
        <v>HP Laserjet Tonner 130A (Magenta)</v>
      </c>
    </row>
    <row r="61" spans="1:9" ht="15" thickBot="1" x14ac:dyDescent="0.4">
      <c r="A61" s="35">
        <f t="shared" si="2"/>
        <v>0</v>
      </c>
      <c r="B61" s="42" t="e">
        <f t="shared" si="3"/>
        <v>#N/A</v>
      </c>
      <c r="C61" s="42" t="e">
        <f>IF(A61="","",VLOOKUP(A61,'STOCK CONTROL SHEET'!Details,3,FALSE))</f>
        <v>#N/A</v>
      </c>
      <c r="D61" s="42">
        <f t="shared" si="4"/>
        <v>0</v>
      </c>
      <c r="E61" s="42">
        <f t="shared" si="5"/>
        <v>3</v>
      </c>
      <c r="F61" s="144"/>
      <c r="G61" s="44">
        <f t="shared" si="6"/>
        <v>0</v>
      </c>
      <c r="H61" s="43" t="e">
        <f>IF(Table2[[#This Row],[Quantity]]&gt;Table2[[#This Row],[Reorder Levels]],Table2[Item Description],"")</f>
        <v>#N/A</v>
      </c>
      <c r="I61" s="43" t="str">
        <f>IF(Table2[[#This Row],[Quantity]]&lt;=Table2[[#This Row],[Reorder Levels]],Table2[Item Description],"")</f>
        <v/>
      </c>
    </row>
    <row r="62" spans="1:9" ht="15" thickBot="1" x14ac:dyDescent="0.4">
      <c r="A62" s="35">
        <f t="shared" si="2"/>
        <v>200007</v>
      </c>
      <c r="B62" s="42" t="str">
        <f t="shared" si="3"/>
        <v>HP Laserjet 4600N Tonner (9723A) (Magenta)</v>
      </c>
      <c r="C62" s="42" t="str">
        <f>IF(A62="","",VLOOKUP(A62,'STOCK CONTROL SHEET'!Details,3,FALSE))</f>
        <v>NO</v>
      </c>
      <c r="D62" s="42">
        <f t="shared" si="4"/>
        <v>0</v>
      </c>
      <c r="E62" s="42">
        <f t="shared" si="5"/>
        <v>0</v>
      </c>
      <c r="F62" s="144"/>
      <c r="G62" s="44">
        <f t="shared" si="6"/>
        <v>200007</v>
      </c>
      <c r="H62" s="43" t="str">
        <f>IF(Table2[[#This Row],[Quantity]]&gt;Table2[[#This Row],[Reorder Levels]],Table2[Item Description],"")</f>
        <v/>
      </c>
      <c r="I62" s="43" t="str">
        <f>IF(Table2[[#This Row],[Quantity]]&lt;=Table2[[#This Row],[Reorder Levels]],Table2[Item Description],"")</f>
        <v>HP Laserjet 4600N Tonner (9723A) (Magenta)</v>
      </c>
    </row>
    <row r="63" spans="1:9" ht="15" thickBot="1" x14ac:dyDescent="0.4">
      <c r="A63" s="35">
        <f t="shared" si="2"/>
        <v>200076</v>
      </c>
      <c r="B63" s="42" t="str">
        <f t="shared" si="3"/>
        <v>HP Laserjet Tonner CF 541A (Cyan)</v>
      </c>
      <c r="C63" s="42" t="str">
        <f>IF(A63="","",VLOOKUP(A63,'STOCK CONTROL SHEET'!Details,3,FALSE))</f>
        <v>NO</v>
      </c>
      <c r="D63" s="42">
        <f t="shared" si="4"/>
        <v>2</v>
      </c>
      <c r="E63" s="42">
        <f t="shared" si="5"/>
        <v>0</v>
      </c>
      <c r="F63" s="144"/>
      <c r="G63" s="44">
        <f t="shared" si="6"/>
        <v>200076</v>
      </c>
      <c r="H63" s="43" t="str">
        <f>IF(Table2[[#This Row],[Quantity]]&gt;Table2[[#This Row],[Reorder Levels]],Table2[Item Description],"")</f>
        <v/>
      </c>
      <c r="I63" s="43" t="str">
        <f>IF(Table2[[#This Row],[Quantity]]&lt;=Table2[[#This Row],[Reorder Levels]],Table2[Item Description],"")</f>
        <v>HP Laserjet Tonner CF 541A (Cyan)</v>
      </c>
    </row>
    <row r="64" spans="1:9" ht="15" thickBot="1" x14ac:dyDescent="0.4">
      <c r="A64" s="35">
        <f t="shared" si="2"/>
        <v>200072</v>
      </c>
      <c r="B64" s="42" t="str">
        <f t="shared" si="3"/>
        <v>HP Laserjet Tonner CF 226A</v>
      </c>
      <c r="C64" s="42" t="str">
        <f>IF(A64="","",VLOOKUP(A64,'STOCK CONTROL SHEET'!Details,3,FALSE))</f>
        <v>NO</v>
      </c>
      <c r="D64" s="42">
        <f t="shared" si="4"/>
        <v>1</v>
      </c>
      <c r="E64" s="42">
        <f t="shared" si="5"/>
        <v>0</v>
      </c>
      <c r="F64" s="144"/>
      <c r="G64" s="44">
        <f t="shared" si="6"/>
        <v>200072</v>
      </c>
      <c r="H64" s="43" t="str">
        <f>IF(Table2[[#This Row],[Quantity]]&gt;Table2[[#This Row],[Reorder Levels]],Table2[Item Description],"")</f>
        <v/>
      </c>
      <c r="I64" s="43" t="str">
        <f>IF(Table2[[#This Row],[Quantity]]&lt;=Table2[[#This Row],[Reorder Levels]],Table2[Item Description],"")</f>
        <v>HP Laserjet Tonner CF 226A</v>
      </c>
    </row>
    <row r="65" spans="1:9" ht="15" thickBot="1" x14ac:dyDescent="0.4">
      <c r="A65" s="35">
        <f t="shared" si="2"/>
        <v>200059</v>
      </c>
      <c r="B65" s="42" t="str">
        <f t="shared" si="3"/>
        <v>HP Laserjet Tonner 402A (Yellow)</v>
      </c>
      <c r="C65" s="42" t="str">
        <f>IF(A65="","",VLOOKUP(A65,'STOCK CONTROL SHEET'!Details,3,FALSE))</f>
        <v>NO</v>
      </c>
      <c r="D65" s="42">
        <f t="shared" si="4"/>
        <v>2</v>
      </c>
      <c r="E65" s="42">
        <f t="shared" si="5"/>
        <v>4</v>
      </c>
      <c r="F65" s="144"/>
      <c r="G65" s="44">
        <f t="shared" si="6"/>
        <v>200059</v>
      </c>
      <c r="H65" s="43" t="str">
        <f>IF(Table2[[#This Row],[Quantity]]&gt;Table2[[#This Row],[Reorder Levels]],Table2[Item Description],"")</f>
        <v>HP Laserjet Tonner 402A (Yellow)</v>
      </c>
      <c r="I65" s="43" t="str">
        <f>IF(Table2[[#This Row],[Quantity]]&lt;=Table2[[#This Row],[Reorder Levels]],Table2[Item Description],"")</f>
        <v/>
      </c>
    </row>
    <row r="66" spans="1:9" ht="15" thickBot="1" x14ac:dyDescent="0.4">
      <c r="A66" s="35">
        <f t="shared" si="2"/>
        <v>200056</v>
      </c>
      <c r="B66" s="42" t="str">
        <f t="shared" si="3"/>
        <v>HP Laserjet Tonner 400A (Black)</v>
      </c>
      <c r="C66" s="42" t="str">
        <f>IF(A66="","",VLOOKUP(A66,'STOCK CONTROL SHEET'!Details,3,FALSE))</f>
        <v>NO</v>
      </c>
      <c r="D66" s="42">
        <f t="shared" si="4"/>
        <v>2</v>
      </c>
      <c r="E66" s="42">
        <f t="shared" si="5"/>
        <v>7</v>
      </c>
      <c r="F66" s="144"/>
      <c r="G66" s="44">
        <f t="shared" si="6"/>
        <v>200056</v>
      </c>
      <c r="H66" s="43" t="str">
        <f>IF(Table2[[#This Row],[Quantity]]&gt;Table2[[#This Row],[Reorder Levels]],Table2[Item Description],"")</f>
        <v>HP Laserjet Tonner 400A (Black)</v>
      </c>
      <c r="I66" s="43" t="str">
        <f>IF(Table2[[#This Row],[Quantity]]&lt;=Table2[[#This Row],[Reorder Levels]],Table2[Item Description],"")</f>
        <v/>
      </c>
    </row>
    <row r="67" spans="1:9" ht="15" thickBot="1" x14ac:dyDescent="0.4">
      <c r="A67" s="35">
        <f t="shared" si="2"/>
        <v>200065</v>
      </c>
      <c r="B67" s="42" t="str">
        <f t="shared" si="3"/>
        <v>HP Laserjet Tonner 130A (Yellow)</v>
      </c>
      <c r="C67" s="42" t="str">
        <f>IF(A67="","",VLOOKUP(A67,'STOCK CONTROL SHEET'!Details,3,FALSE))</f>
        <v>NO</v>
      </c>
      <c r="D67" s="42">
        <f t="shared" si="4"/>
        <v>1</v>
      </c>
      <c r="E67" s="42">
        <f t="shared" si="5"/>
        <v>0</v>
      </c>
      <c r="F67" s="144"/>
      <c r="G67" s="44">
        <f t="shared" si="6"/>
        <v>200065</v>
      </c>
      <c r="H67" s="43" t="str">
        <f>IF(Table2[[#This Row],[Quantity]]&gt;Table2[[#This Row],[Reorder Levels]],Table2[Item Description],"")</f>
        <v/>
      </c>
      <c r="I67" s="43" t="str">
        <f>IF(Table2[[#This Row],[Quantity]]&lt;=Table2[[#This Row],[Reorder Levels]],Table2[Item Description],"")</f>
        <v>HP Laserjet Tonner 130A (Yellow)</v>
      </c>
    </row>
    <row r="68" spans="1:9" ht="15" thickBot="1" x14ac:dyDescent="0.4">
      <c r="A68" s="35">
        <f t="shared" si="2"/>
        <v>200075</v>
      </c>
      <c r="B68" s="42" t="str">
        <f t="shared" si="3"/>
        <v>HP Laserjet Tonner CF 540A (Black)</v>
      </c>
      <c r="C68" s="42" t="str">
        <f>IF(A68="","",VLOOKUP(A68,'STOCK CONTROL SHEET'!Details,3,FALSE))</f>
        <v>NO</v>
      </c>
      <c r="D68" s="42">
        <f t="shared" si="4"/>
        <v>3</v>
      </c>
      <c r="E68" s="42">
        <f t="shared" si="5"/>
        <v>0</v>
      </c>
      <c r="F68" s="144"/>
      <c r="G68" s="44">
        <f t="shared" si="6"/>
        <v>200075</v>
      </c>
      <c r="H68" s="43" t="str">
        <f>IF(Table2[[#This Row],[Quantity]]&gt;Table2[[#This Row],[Reorder Levels]],Table2[Item Description],"")</f>
        <v/>
      </c>
      <c r="I68" s="43" t="str">
        <f>IF(Table2[[#This Row],[Quantity]]&lt;=Table2[[#This Row],[Reorder Levels]],Table2[Item Description],"")</f>
        <v>HP Laserjet Tonner CF 540A (Black)</v>
      </c>
    </row>
    <row r="69" spans="1:9" ht="15" thickBot="1" x14ac:dyDescent="0.4">
      <c r="A69" s="35">
        <f t="shared" si="2"/>
        <v>200073</v>
      </c>
      <c r="B69" s="42" t="str">
        <f t="shared" si="3"/>
        <v xml:space="preserve">HP Laserjet Tonner CF 287A </v>
      </c>
      <c r="C69" s="42" t="str">
        <f>IF(A69="","",VLOOKUP(A69,'STOCK CONTROL SHEET'!Details,3,FALSE))</f>
        <v>NO</v>
      </c>
      <c r="D69" s="42">
        <f t="shared" si="4"/>
        <v>2</v>
      </c>
      <c r="E69" s="42">
        <f t="shared" si="5"/>
        <v>5</v>
      </c>
      <c r="F69" s="144"/>
      <c r="G69" s="44">
        <f t="shared" si="6"/>
        <v>200073</v>
      </c>
      <c r="H69" s="43" t="str">
        <f>IF(Table2[[#This Row],[Quantity]]&gt;Table2[[#This Row],[Reorder Levels]],Table2[Item Description],"")</f>
        <v xml:space="preserve">HP Laserjet Tonner CF 287A </v>
      </c>
      <c r="I69" s="43" t="str">
        <f>IF(Table2[[#This Row],[Quantity]]&lt;=Table2[[#This Row],[Reorder Levels]],Table2[Item Description],"")</f>
        <v/>
      </c>
    </row>
    <row r="70" spans="1:9" ht="15" thickBot="1" x14ac:dyDescent="0.4">
      <c r="A70" s="35">
        <f t="shared" si="2"/>
        <v>200064</v>
      </c>
      <c r="B70" s="42" t="str">
        <f t="shared" si="3"/>
        <v xml:space="preserve">HP Laserjet Tonner 130A (Cyan) </v>
      </c>
      <c r="C70" s="42" t="str">
        <f>IF(A70="","",VLOOKUP(A70,'STOCK CONTROL SHEET'!Details,3,FALSE))</f>
        <v>NO</v>
      </c>
      <c r="D70" s="42">
        <f t="shared" si="4"/>
        <v>1</v>
      </c>
      <c r="E70" s="42">
        <f t="shared" si="5"/>
        <v>0</v>
      </c>
      <c r="F70" s="144"/>
      <c r="G70" s="44">
        <f t="shared" si="6"/>
        <v>200064</v>
      </c>
      <c r="H70" s="43" t="str">
        <f>IF(Table2[[#This Row],[Quantity]]&gt;Table2[[#This Row],[Reorder Levels]],Table2[Item Description],"")</f>
        <v/>
      </c>
      <c r="I70" s="43" t="str">
        <f>IF(Table2[[#This Row],[Quantity]]&lt;=Table2[[#This Row],[Reorder Levels]],Table2[Item Description],"")</f>
        <v xml:space="preserve">HP Laserjet Tonner 130A (Cyan) </v>
      </c>
    </row>
    <row r="71" spans="1:9" ht="15" thickBot="1" x14ac:dyDescent="0.4">
      <c r="A71" s="35">
        <f t="shared" ref="A71:A102" si="7">COMPMaterialNo</f>
        <v>200063</v>
      </c>
      <c r="B71" s="42" t="str">
        <f t="shared" ref="B71:B102" si="8">IF(A71="","",VLOOKUP(A71,COMP.STOREPRIMARY,2,FALSE))</f>
        <v xml:space="preserve">HP Laserjet Tonner 130A (Black) </v>
      </c>
      <c r="C71" s="42" t="str">
        <f>IF(A71="","",VLOOKUP(A71,'STOCK CONTROL SHEET'!Details,3,FALSE))</f>
        <v>NO</v>
      </c>
      <c r="D71" s="42">
        <f t="shared" ref="D71:D102" si="9">COMP.STOREReorderLevels</f>
        <v>1</v>
      </c>
      <c r="E71" s="42">
        <f t="shared" ref="E71:E102" si="10">COMP.STOREPhysicalBal.</f>
        <v>0</v>
      </c>
      <c r="F71" s="144"/>
      <c r="G71" s="44">
        <f t="shared" ref="G71:G102" si="11">COMPMaterialNo</f>
        <v>200063</v>
      </c>
      <c r="H71" s="43" t="str">
        <f>IF(Table2[[#This Row],[Quantity]]&gt;Table2[[#This Row],[Reorder Levels]],Table2[Item Description],"")</f>
        <v/>
      </c>
      <c r="I71" s="43" t="str">
        <f>IF(Table2[[#This Row],[Quantity]]&lt;=Table2[[#This Row],[Reorder Levels]],Table2[Item Description],"")</f>
        <v xml:space="preserve">HP Laserjet Tonner 130A (Black) </v>
      </c>
    </row>
    <row r="72" spans="1:9" ht="15" thickBot="1" x14ac:dyDescent="0.4">
      <c r="A72" s="35">
        <f t="shared" si="7"/>
        <v>0</v>
      </c>
      <c r="B72" s="42" t="e">
        <f t="shared" si="8"/>
        <v>#N/A</v>
      </c>
      <c r="C72" s="42" t="e">
        <f>IF(A72="","",VLOOKUP(A72,'STOCK CONTROL SHEET'!Details,3,FALSE))</f>
        <v>#N/A</v>
      </c>
      <c r="D72" s="42">
        <f t="shared" si="9"/>
        <v>0</v>
      </c>
      <c r="E72" s="42">
        <f t="shared" si="10"/>
        <v>3</v>
      </c>
      <c r="F72" s="144"/>
      <c r="G72" s="44">
        <f t="shared" si="11"/>
        <v>0</v>
      </c>
      <c r="H72" s="43" t="e">
        <f>IF(Table2[[#This Row],[Quantity]]&gt;Table2[[#This Row],[Reorder Levels]],Table2[Item Description],"")</f>
        <v>#N/A</v>
      </c>
      <c r="I72" s="43" t="str">
        <f>IF(Table2[[#This Row],[Quantity]]&lt;=Table2[[#This Row],[Reorder Levels]],Table2[Item Description],"")</f>
        <v/>
      </c>
    </row>
    <row r="73" spans="1:9" ht="15" thickBot="1" x14ac:dyDescent="0.4">
      <c r="A73" s="35">
        <f t="shared" si="7"/>
        <v>200009</v>
      </c>
      <c r="B73" s="42" t="str">
        <f t="shared" si="8"/>
        <v xml:space="preserve">HP Laserjet 4600N Tonner (9721A) Blue </v>
      </c>
      <c r="C73" s="42" t="str">
        <f>IF(A73="","",VLOOKUP(A73,'STOCK CONTROL SHEET'!Details,3,FALSE))</f>
        <v>NO</v>
      </c>
      <c r="D73" s="42">
        <f t="shared" si="9"/>
        <v>0</v>
      </c>
      <c r="E73" s="42">
        <f t="shared" si="10"/>
        <v>0</v>
      </c>
      <c r="F73" s="144"/>
      <c r="G73" s="44">
        <f t="shared" si="11"/>
        <v>200009</v>
      </c>
      <c r="H73" s="43" t="str">
        <f>IF(Table2[[#This Row],[Quantity]]&gt;Table2[[#This Row],[Reorder Levels]],Table2[Item Description],"")</f>
        <v/>
      </c>
      <c r="I73" s="43" t="str">
        <f>IF(Table2[[#This Row],[Quantity]]&lt;=Table2[[#This Row],[Reorder Levels]],Table2[Item Description],"")</f>
        <v xml:space="preserve">HP Laserjet 4600N Tonner (9721A) Blue </v>
      </c>
    </row>
    <row r="74" spans="1:9" ht="15" thickBot="1" x14ac:dyDescent="0.4">
      <c r="A74" s="35">
        <f t="shared" si="7"/>
        <v>0</v>
      </c>
      <c r="B74" s="42" t="e">
        <f t="shared" si="8"/>
        <v>#N/A</v>
      </c>
      <c r="C74" s="42" t="e">
        <f>IF(A74="","",VLOOKUP(A74,'STOCK CONTROL SHEET'!Details,3,FALSE))</f>
        <v>#N/A</v>
      </c>
      <c r="D74" s="42">
        <f t="shared" si="9"/>
        <v>0</v>
      </c>
      <c r="E74" s="42">
        <f t="shared" si="10"/>
        <v>4</v>
      </c>
      <c r="F74" s="144"/>
      <c r="G74" s="44">
        <f t="shared" si="11"/>
        <v>0</v>
      </c>
      <c r="H74" s="43" t="e">
        <f>IF(Table2[[#This Row],[Quantity]]&gt;Table2[[#This Row],[Reorder Levels]],Table2[Item Description],"")</f>
        <v>#N/A</v>
      </c>
      <c r="I74" s="43" t="str">
        <f>IF(Table2[[#This Row],[Quantity]]&lt;=Table2[[#This Row],[Reorder Levels]],Table2[Item Description],"")</f>
        <v/>
      </c>
    </row>
    <row r="75" spans="1:9" ht="15" thickBot="1" x14ac:dyDescent="0.4">
      <c r="A75" s="35">
        <f t="shared" si="7"/>
        <v>200010</v>
      </c>
      <c r="B75" s="42" t="str">
        <f t="shared" si="8"/>
        <v xml:space="preserve">HP Laserjet 4600N Tonner (9720A) Black </v>
      </c>
      <c r="C75" s="42" t="str">
        <f>IF(A75="","",VLOOKUP(A75,'STOCK CONTROL SHEET'!Details,3,FALSE))</f>
        <v>NO</v>
      </c>
      <c r="D75" s="42">
        <f t="shared" si="9"/>
        <v>0</v>
      </c>
      <c r="E75" s="42">
        <f t="shared" si="10"/>
        <v>8</v>
      </c>
      <c r="F75" s="144"/>
      <c r="G75" s="44">
        <f t="shared" si="11"/>
        <v>200010</v>
      </c>
      <c r="H75" s="43" t="str">
        <f>IF(Table2[[#This Row],[Quantity]]&gt;Table2[[#This Row],[Reorder Levels]],Table2[Item Description],"")</f>
        <v xml:space="preserve">HP Laserjet 4600N Tonner (9720A) Black </v>
      </c>
      <c r="I75" s="43" t="str">
        <f>IF(Table2[[#This Row],[Quantity]]&lt;=Table2[[#This Row],[Reorder Levels]],Table2[Item Description],"")</f>
        <v/>
      </c>
    </row>
    <row r="76" spans="1:9" ht="15" thickBot="1" x14ac:dyDescent="0.4">
      <c r="A76" s="35">
        <f t="shared" si="7"/>
        <v>200000</v>
      </c>
      <c r="B76" s="42" t="str">
        <f t="shared" si="8"/>
        <v xml:space="preserve">HP Laserjet Tonner (9722A) Yellow </v>
      </c>
      <c r="C76" s="42" t="str">
        <f>IF(A76="","",VLOOKUP(A76,'STOCK CONTROL SHEET'!Details,3,FALSE))</f>
        <v>NO</v>
      </c>
      <c r="D76" s="42">
        <f t="shared" si="9"/>
        <v>0</v>
      </c>
      <c r="E76" s="42">
        <f t="shared" si="10"/>
        <v>0</v>
      </c>
      <c r="F76" s="144"/>
      <c r="G76" s="44">
        <f t="shared" si="11"/>
        <v>200000</v>
      </c>
      <c r="H76" s="43" t="str">
        <f>IF(Table2[[#This Row],[Quantity]]&gt;Table2[[#This Row],[Reorder Levels]],Table2[Item Description],"")</f>
        <v/>
      </c>
      <c r="I76" s="43" t="str">
        <f>IF(Table2[[#This Row],[Quantity]]&lt;=Table2[[#This Row],[Reorder Levels]],Table2[Item Description],"")</f>
        <v xml:space="preserve">HP Laserjet Tonner (9722A) Yellow </v>
      </c>
    </row>
    <row r="77" spans="1:9" ht="15" thickBot="1" x14ac:dyDescent="0.4">
      <c r="A77" s="35">
        <f t="shared" si="7"/>
        <v>200079</v>
      </c>
      <c r="B77" s="42" t="str">
        <f t="shared" si="8"/>
        <v xml:space="preserve">HP Laserjet Tonner 543A (Magenta) </v>
      </c>
      <c r="C77" s="42" t="str">
        <f>IF(A77="","",VLOOKUP(A77,'STOCK CONTROL SHEET'!Details,3,FALSE))</f>
        <v>NO</v>
      </c>
      <c r="D77" s="42">
        <f t="shared" si="9"/>
        <v>2</v>
      </c>
      <c r="E77" s="42">
        <f t="shared" si="10"/>
        <v>0</v>
      </c>
      <c r="F77" s="144"/>
      <c r="G77" s="44">
        <f t="shared" si="11"/>
        <v>200079</v>
      </c>
      <c r="H77" s="43" t="str">
        <f>IF(Table2[[#This Row],[Quantity]]&gt;Table2[[#This Row],[Reorder Levels]],Table2[Item Description],"")</f>
        <v/>
      </c>
      <c r="I77" s="43" t="str">
        <f>IF(Table2[[#This Row],[Quantity]]&lt;=Table2[[#This Row],[Reorder Levels]],Table2[Item Description],"")</f>
        <v xml:space="preserve">HP Laserjet Tonner 543A (Magenta) </v>
      </c>
    </row>
    <row r="78" spans="1:9" ht="15" thickBot="1" x14ac:dyDescent="0.4">
      <c r="A78" s="35">
        <f t="shared" si="7"/>
        <v>200008</v>
      </c>
      <c r="B78" s="42" t="str">
        <f t="shared" si="8"/>
        <v>HP Laserjet Tonner 2550 Q3964A (Color)</v>
      </c>
      <c r="C78" s="42" t="str">
        <f>IF(A78="","",VLOOKUP(A78,'STOCK CONTROL SHEET'!Details,3,FALSE))</f>
        <v>NO</v>
      </c>
      <c r="D78" s="42">
        <f t="shared" si="9"/>
        <v>0</v>
      </c>
      <c r="E78" s="42">
        <f t="shared" si="10"/>
        <v>1</v>
      </c>
      <c r="F78" s="144"/>
      <c r="G78" s="44">
        <f t="shared" si="11"/>
        <v>200008</v>
      </c>
      <c r="H78" s="43" t="str">
        <f>IF(Table2[[#This Row],[Quantity]]&gt;Table2[[#This Row],[Reorder Levels]],Table2[Item Description],"")</f>
        <v>HP Laserjet Tonner 2550 Q3964A (Color)</v>
      </c>
      <c r="I78" s="43" t="str">
        <f>IF(Table2[[#This Row],[Quantity]]&lt;=Table2[[#This Row],[Reorder Levels]],Table2[Item Description],"")</f>
        <v/>
      </c>
    </row>
    <row r="79" spans="1:9" ht="15" thickBot="1" x14ac:dyDescent="0.4">
      <c r="A79" s="35">
        <f t="shared" si="7"/>
        <v>200017</v>
      </c>
      <c r="B79" s="42" t="str">
        <f t="shared" si="8"/>
        <v>Lex Mark C920 Ribbon Magenta</v>
      </c>
      <c r="C79" s="42" t="str">
        <f>IF(A79="","",VLOOKUP(A79,'STOCK CONTROL SHEET'!Details,3,FALSE))</f>
        <v>NO</v>
      </c>
      <c r="D79" s="42">
        <f t="shared" si="9"/>
        <v>0</v>
      </c>
      <c r="E79" s="42">
        <f t="shared" si="10"/>
        <v>3</v>
      </c>
      <c r="F79" s="144"/>
      <c r="G79" s="44">
        <f t="shared" si="11"/>
        <v>200017</v>
      </c>
      <c r="H79" s="43" t="str">
        <f>IF(Table2[[#This Row],[Quantity]]&gt;Table2[[#This Row],[Reorder Levels]],Table2[Item Description],"")</f>
        <v>Lex Mark C920 Ribbon Magenta</v>
      </c>
      <c r="I79" s="43" t="str">
        <f>IF(Table2[[#This Row],[Quantity]]&lt;=Table2[[#This Row],[Reorder Levels]],Table2[Item Description],"")</f>
        <v/>
      </c>
    </row>
    <row r="80" spans="1:9" ht="15" thickBot="1" x14ac:dyDescent="0.4">
      <c r="A80" s="35">
        <f t="shared" si="7"/>
        <v>200028</v>
      </c>
      <c r="B80" s="42" t="str">
        <f t="shared" si="8"/>
        <v>Lex Mark  C920 Ribbon Black</v>
      </c>
      <c r="C80" s="42" t="str">
        <f>IF(A80="","",VLOOKUP(A80,'STOCK CONTROL SHEET'!Details,3,FALSE))</f>
        <v>NO</v>
      </c>
      <c r="D80" s="42">
        <f t="shared" si="9"/>
        <v>0</v>
      </c>
      <c r="E80" s="42">
        <f t="shared" si="10"/>
        <v>2</v>
      </c>
      <c r="F80" s="144"/>
      <c r="G80" s="44">
        <f t="shared" si="11"/>
        <v>200028</v>
      </c>
      <c r="H80" s="43" t="str">
        <f>IF(Table2[[#This Row],[Quantity]]&gt;Table2[[#This Row],[Reorder Levels]],Table2[Item Description],"")</f>
        <v>Lex Mark  C920 Ribbon Black</v>
      </c>
      <c r="I80" s="43" t="str">
        <f>IF(Table2[[#This Row],[Quantity]]&lt;=Table2[[#This Row],[Reorder Levels]],Table2[Item Description],"")</f>
        <v/>
      </c>
    </row>
    <row r="81" spans="1:9" ht="15" thickBot="1" x14ac:dyDescent="0.4">
      <c r="A81" s="35">
        <f t="shared" si="7"/>
        <v>200029</v>
      </c>
      <c r="B81" s="42" t="str">
        <f t="shared" si="8"/>
        <v>Lex Mark C920 Yellow</v>
      </c>
      <c r="C81" s="42" t="str">
        <f>IF(A81="","",VLOOKUP(A81,'STOCK CONTROL SHEET'!Details,3,FALSE))</f>
        <v>NO</v>
      </c>
      <c r="D81" s="42">
        <f t="shared" si="9"/>
        <v>0</v>
      </c>
      <c r="E81" s="42">
        <f t="shared" si="10"/>
        <v>4</v>
      </c>
      <c r="F81" s="144"/>
      <c r="G81" s="44">
        <f t="shared" si="11"/>
        <v>200029</v>
      </c>
      <c r="H81" s="43" t="str">
        <f>IF(Table2[[#This Row],[Quantity]]&gt;Table2[[#This Row],[Reorder Levels]],Table2[Item Description],"")</f>
        <v>Lex Mark C920 Yellow</v>
      </c>
      <c r="I81" s="43" t="str">
        <f>IF(Table2[[#This Row],[Quantity]]&lt;=Table2[[#This Row],[Reorder Levels]],Table2[Item Description],"")</f>
        <v/>
      </c>
    </row>
    <row r="82" spans="1:9" ht="15" thickBot="1" x14ac:dyDescent="0.4">
      <c r="A82" s="35">
        <f t="shared" si="7"/>
        <v>0</v>
      </c>
      <c r="B82" s="42" t="e">
        <f t="shared" si="8"/>
        <v>#N/A</v>
      </c>
      <c r="C82" s="42" t="e">
        <f>IF(A82="","",VLOOKUP(A82,'STOCK CONTROL SHEET'!Details,3,FALSE))</f>
        <v>#N/A</v>
      </c>
      <c r="D82" s="42">
        <f t="shared" si="9"/>
        <v>0</v>
      </c>
      <c r="E82" s="42">
        <f t="shared" si="10"/>
        <v>3</v>
      </c>
      <c r="F82" s="144"/>
      <c r="G82" s="44">
        <f t="shared" si="11"/>
        <v>0</v>
      </c>
      <c r="H82" s="43" t="e">
        <f>IF(Table2[[#This Row],[Quantity]]&gt;Table2[[#This Row],[Reorder Levels]],Table2[Item Description],"")</f>
        <v>#N/A</v>
      </c>
      <c r="I82" s="43" t="str">
        <f>IF(Table2[[#This Row],[Quantity]]&lt;=Table2[[#This Row],[Reorder Levels]],Table2[Item Description],"")</f>
        <v/>
      </c>
    </row>
    <row r="83" spans="1:9" ht="15" thickBot="1" x14ac:dyDescent="0.4">
      <c r="A83" s="35">
        <f t="shared" si="7"/>
        <v>38</v>
      </c>
      <c r="B83" s="42" t="str">
        <f t="shared" si="8"/>
        <v>Tonner Laser Jet 2550 LQ 3971A</v>
      </c>
      <c r="C83" s="42" t="str">
        <f>IF(A83="","",VLOOKUP(A83,'STOCK CONTROL SHEET'!Details,3,FALSE))</f>
        <v>EA</v>
      </c>
      <c r="D83" s="42">
        <f t="shared" si="9"/>
        <v>2</v>
      </c>
      <c r="E83" s="42">
        <f t="shared" si="10"/>
        <v>0</v>
      </c>
      <c r="F83" s="144"/>
      <c r="G83" s="44">
        <f t="shared" si="11"/>
        <v>38</v>
      </c>
      <c r="H83" s="43" t="str">
        <f>IF(Table2[[#This Row],[Quantity]]&gt;Table2[[#This Row],[Reorder Levels]],Table2[Item Description],"")</f>
        <v/>
      </c>
      <c r="I83" s="43" t="str">
        <f>IF(Table2[[#This Row],[Quantity]]&lt;=Table2[[#This Row],[Reorder Levels]],Table2[Item Description],"")</f>
        <v>Tonner Laser Jet 2550 LQ 3971A</v>
      </c>
    </row>
    <row r="84" spans="1:9" ht="15" thickBot="1" x14ac:dyDescent="0.4">
      <c r="A84" s="35">
        <f t="shared" si="7"/>
        <v>200001</v>
      </c>
      <c r="B84" s="42" t="str">
        <f t="shared" si="8"/>
        <v xml:space="preserve">HP Laserjet Tonner 2550L Q3960A  </v>
      </c>
      <c r="C84" s="42" t="str">
        <f>IF(A84="","",VLOOKUP(A84,'STOCK CONTROL SHEET'!Details,3,FALSE))</f>
        <v>NO</v>
      </c>
      <c r="D84" s="42">
        <f t="shared" si="9"/>
        <v>0</v>
      </c>
      <c r="E84" s="42">
        <f t="shared" si="10"/>
        <v>4</v>
      </c>
      <c r="F84" s="144"/>
      <c r="G84" s="44">
        <f t="shared" si="11"/>
        <v>200001</v>
      </c>
      <c r="H84" s="43" t="str">
        <f>IF(Table2[[#This Row],[Quantity]]&gt;Table2[[#This Row],[Reorder Levels]],Table2[Item Description],"")</f>
        <v xml:space="preserve">HP Laserjet Tonner 2550L Q3960A  </v>
      </c>
      <c r="I84" s="43" t="str">
        <f>IF(Table2[[#This Row],[Quantity]]&lt;=Table2[[#This Row],[Reorder Levels]],Table2[Item Description],"")</f>
        <v/>
      </c>
    </row>
    <row r="85" spans="1:9" ht="15" thickBot="1" x14ac:dyDescent="0.4">
      <c r="A85" s="35">
        <f t="shared" si="7"/>
        <v>200091</v>
      </c>
      <c r="B85" s="42" t="str">
        <f t="shared" si="8"/>
        <v>Kyocera Ecosys 3060-9X4BO47</v>
      </c>
      <c r="C85" s="42" t="str">
        <f>IF(A85="","",VLOOKUP(A85,'STOCK CONTROL SHEET'!Details,3,FALSE))</f>
        <v>NO</v>
      </c>
      <c r="D85" s="42">
        <f t="shared" si="9"/>
        <v>0</v>
      </c>
      <c r="E85" s="42">
        <f t="shared" si="10"/>
        <v>15</v>
      </c>
      <c r="F85" s="144"/>
      <c r="G85" s="44">
        <f t="shared" si="11"/>
        <v>200091</v>
      </c>
      <c r="H85" s="43" t="str">
        <f>IF(Table2[[#This Row],[Quantity]]&gt;Table2[[#This Row],[Reorder Levels]],Table2[Item Description],"")</f>
        <v>Kyocera Ecosys 3060-9X4BO47</v>
      </c>
      <c r="I85" s="43" t="str">
        <f>IF(Table2[[#This Row],[Quantity]]&lt;=Table2[[#This Row],[Reorder Levels]],Table2[Item Description],"")</f>
        <v/>
      </c>
    </row>
    <row r="86" spans="1:9" ht="15" thickBot="1" x14ac:dyDescent="0.4">
      <c r="A86" s="35">
        <f t="shared" si="7"/>
        <v>100170</v>
      </c>
      <c r="B86" s="42" t="str">
        <f t="shared" si="8"/>
        <v>1 Part Plain Paper 9(1/2) * 11</v>
      </c>
      <c r="C86" s="42" t="str">
        <f>IF(A86="","",VLOOKUP(A86,'STOCK CONTROL SHEET'!Details,3,FALSE))</f>
        <v>NO</v>
      </c>
      <c r="D86" s="42">
        <f t="shared" si="9"/>
        <v>9000</v>
      </c>
      <c r="E86" s="42">
        <f t="shared" si="10"/>
        <v>26000</v>
      </c>
      <c r="F86" s="144"/>
      <c r="G86" s="44">
        <f t="shared" si="11"/>
        <v>100170</v>
      </c>
      <c r="H86" s="43" t="str">
        <f>IF(Table2[[#This Row],[Quantity]]&gt;Table2[[#This Row],[Reorder Levels]],Table2[Item Description],"")</f>
        <v>1 Part Plain Paper 9(1/2) * 11</v>
      </c>
      <c r="I86" s="43" t="str">
        <f>IF(Table2[[#This Row],[Quantity]]&lt;=Table2[[#This Row],[Reorder Levels]],Table2[Item Description],"")</f>
        <v/>
      </c>
    </row>
    <row r="87" spans="1:9" ht="15" thickBot="1" x14ac:dyDescent="0.4">
      <c r="A87" s="35">
        <f t="shared" si="7"/>
        <v>200100</v>
      </c>
      <c r="B87" s="42" t="str">
        <f t="shared" si="8"/>
        <v>HP Laserjet Tonner 230A (Magenta)</v>
      </c>
      <c r="C87" s="42" t="str">
        <f>IF(A87="","",VLOOKUP(A87,'STOCK CONTROL SHEET'!Details,3,FALSE))</f>
        <v>NO</v>
      </c>
      <c r="D87" s="42">
        <f t="shared" si="9"/>
        <v>0</v>
      </c>
      <c r="E87" s="42">
        <f t="shared" si="10"/>
        <v>4</v>
      </c>
      <c r="F87" s="144"/>
      <c r="G87" s="44">
        <f t="shared" si="11"/>
        <v>200100</v>
      </c>
      <c r="H87" s="43" t="str">
        <f>IF(Table2[[#This Row],[Quantity]]&gt;Table2[[#This Row],[Reorder Levels]],Table2[Item Description],"")</f>
        <v>HP Laserjet Tonner 230A (Magenta)</v>
      </c>
      <c r="I87" s="43" t="str">
        <f>IF(Table2[[#This Row],[Quantity]]&lt;=Table2[[#This Row],[Reorder Levels]],Table2[Item Description],"")</f>
        <v/>
      </c>
    </row>
    <row r="88" spans="1:9" ht="15" thickBot="1" x14ac:dyDescent="0.4">
      <c r="A88" s="35">
        <f t="shared" si="7"/>
        <v>200098</v>
      </c>
      <c r="B88" s="42" t="str">
        <f t="shared" si="8"/>
        <v>HP Laserjet Tonner 230A (Yellow)</v>
      </c>
      <c r="C88" s="42" t="str">
        <f>IF(A88="","",VLOOKUP(A88,'STOCK CONTROL SHEET'!Details,3,FALSE))</f>
        <v>NO</v>
      </c>
      <c r="D88" s="42">
        <f t="shared" si="9"/>
        <v>0</v>
      </c>
      <c r="E88" s="42">
        <f t="shared" si="10"/>
        <v>5</v>
      </c>
      <c r="F88" s="144"/>
      <c r="G88" s="44">
        <f t="shared" si="11"/>
        <v>200098</v>
      </c>
      <c r="H88" s="43" t="str">
        <f>IF(Table2[[#This Row],[Quantity]]&gt;Table2[[#This Row],[Reorder Levels]],Table2[Item Description],"")</f>
        <v>HP Laserjet Tonner 230A (Yellow)</v>
      </c>
      <c r="I88" s="43" t="str">
        <f>IF(Table2[[#This Row],[Quantity]]&lt;=Table2[[#This Row],[Reorder Levels]],Table2[Item Description],"")</f>
        <v/>
      </c>
    </row>
    <row r="89" spans="1:9" ht="15" thickBot="1" x14ac:dyDescent="0.4">
      <c r="A89" s="35">
        <f t="shared" si="7"/>
        <v>200097</v>
      </c>
      <c r="B89" s="42" t="str">
        <f t="shared" si="8"/>
        <v>HP Laserjet Tonner 230A (BLACK)</v>
      </c>
      <c r="C89" s="42" t="str">
        <f>IF(A89="","",VLOOKUP(A89,'STOCK CONTROL SHEET'!Details,3,FALSE))</f>
        <v>NO</v>
      </c>
      <c r="D89" s="42">
        <f t="shared" si="9"/>
        <v>0</v>
      </c>
      <c r="E89" s="42">
        <f t="shared" si="10"/>
        <v>24</v>
      </c>
      <c r="F89" s="144"/>
      <c r="G89" s="44">
        <f t="shared" si="11"/>
        <v>200097</v>
      </c>
      <c r="H89" s="43" t="str">
        <f>IF(Table2[[#This Row],[Quantity]]&gt;Table2[[#This Row],[Reorder Levels]],Table2[Item Description],"")</f>
        <v>HP Laserjet Tonner 230A (BLACK)</v>
      </c>
      <c r="I89" s="43" t="str">
        <f>IF(Table2[[#This Row],[Quantity]]&lt;=Table2[[#This Row],[Reorder Levels]],Table2[Item Description],"")</f>
        <v/>
      </c>
    </row>
    <row r="90" spans="1:9" ht="15" thickBot="1" x14ac:dyDescent="0.4">
      <c r="A90" s="35">
        <f t="shared" si="7"/>
        <v>200099</v>
      </c>
      <c r="B90" s="42" t="str">
        <f t="shared" si="8"/>
        <v>HP Laserjet Tonner 230A (Cyan)</v>
      </c>
      <c r="C90" s="42" t="str">
        <f>IF(A90="","",VLOOKUP(A90,'STOCK CONTROL SHEET'!Details,3,FALSE))</f>
        <v>NO</v>
      </c>
      <c r="D90" s="42">
        <f t="shared" si="9"/>
        <v>0</v>
      </c>
      <c r="E90" s="42">
        <f t="shared" si="10"/>
        <v>5</v>
      </c>
      <c r="F90" s="144"/>
      <c r="G90" s="44">
        <f t="shared" si="11"/>
        <v>200099</v>
      </c>
      <c r="H90" s="43" t="str">
        <f>IF(Table2[[#This Row],[Quantity]]&gt;Table2[[#This Row],[Reorder Levels]],Table2[Item Description],"")</f>
        <v>HP Laserjet Tonner 230A (Cyan)</v>
      </c>
      <c r="I90" s="43" t="str">
        <f>IF(Table2[[#This Row],[Quantity]]&lt;=Table2[[#This Row],[Reorder Levels]],Table2[Item Description],"")</f>
        <v/>
      </c>
    </row>
    <row r="91" spans="1:9" ht="15" thickBot="1" x14ac:dyDescent="0.4">
      <c r="A91" s="35">
        <f t="shared" si="7"/>
        <v>200051</v>
      </c>
      <c r="B91" s="42" t="str">
        <f t="shared" si="8"/>
        <v>Toner HP 2612 A Black-HP3015</v>
      </c>
      <c r="C91" s="42" t="str">
        <f>IF(A91="","",VLOOKUP(A91,'STOCK CONTROL SHEET'!Details,3,FALSE))</f>
        <v>NO</v>
      </c>
      <c r="D91" s="42">
        <f t="shared" si="9"/>
        <v>0</v>
      </c>
      <c r="E91" s="42">
        <f t="shared" si="10"/>
        <v>1</v>
      </c>
      <c r="F91" s="144"/>
      <c r="G91" s="44">
        <f t="shared" si="11"/>
        <v>200051</v>
      </c>
      <c r="H91" s="43" t="str">
        <f>IF(Table2[[#This Row],[Quantity]]&gt;Table2[[#This Row],[Reorder Levels]],Table2[Item Description],"")</f>
        <v>Toner HP 2612 A Black-HP3015</v>
      </c>
      <c r="I91" s="43" t="str">
        <f>IF(Table2[[#This Row],[Quantity]]&lt;=Table2[[#This Row],[Reorder Levels]],Table2[Item Description],"")</f>
        <v/>
      </c>
    </row>
    <row r="92" spans="1:9" ht="15" thickBot="1" x14ac:dyDescent="0.4">
      <c r="A92" s="35">
        <f t="shared" si="7"/>
        <v>200002</v>
      </c>
      <c r="B92" s="42" t="str">
        <f t="shared" si="8"/>
        <v xml:space="preserve">HP Laserjet Tonner C920 Cyan </v>
      </c>
      <c r="C92" s="42" t="str">
        <f>IF(A92="","",VLOOKUP(A92,'STOCK CONTROL SHEET'!Details,3,FALSE))</f>
        <v>NO</v>
      </c>
      <c r="D92" s="42">
        <f t="shared" si="9"/>
        <v>0</v>
      </c>
      <c r="E92" s="42">
        <f t="shared" si="10"/>
        <v>5</v>
      </c>
      <c r="F92" s="144"/>
      <c r="G92" s="44">
        <f t="shared" si="11"/>
        <v>200002</v>
      </c>
      <c r="H92" s="43" t="str">
        <f>IF(Table2[[#This Row],[Quantity]]&gt;Table2[[#This Row],[Reorder Levels]],Table2[Item Description],"")</f>
        <v xml:space="preserve">HP Laserjet Tonner C920 Cyan </v>
      </c>
      <c r="I92" s="43" t="str">
        <f>IF(Table2[[#This Row],[Quantity]]&lt;=Table2[[#This Row],[Reorder Levels]],Table2[Item Description],"")</f>
        <v/>
      </c>
    </row>
    <row r="93" spans="1:9" ht="15" thickBot="1" x14ac:dyDescent="0.4">
      <c r="A93" s="35">
        <f t="shared" si="7"/>
        <v>200069</v>
      </c>
      <c r="B93" s="42" t="str">
        <f t="shared" si="8"/>
        <v>Toner Hp Laserjet CF281A</v>
      </c>
      <c r="C93" s="42" t="str">
        <f>IF(A93="","",VLOOKUP(A93,'STOCK CONTROL SHEET'!Details,3,FALSE))</f>
        <v>EA</v>
      </c>
      <c r="D93" s="42">
        <f t="shared" si="9"/>
        <v>3</v>
      </c>
      <c r="E93" s="42">
        <f t="shared" si="10"/>
        <v>19</v>
      </c>
      <c r="F93" s="144"/>
      <c r="G93" s="44">
        <f t="shared" si="11"/>
        <v>200069</v>
      </c>
      <c r="H93" s="43" t="str">
        <f>IF(Table2[[#This Row],[Quantity]]&gt;Table2[[#This Row],[Reorder Levels]],Table2[Item Description],"")</f>
        <v>Toner Hp Laserjet CF281A</v>
      </c>
      <c r="I93" s="43" t="str">
        <f>IF(Table2[[#This Row],[Quantity]]&lt;=Table2[[#This Row],[Reorder Levels]],Table2[Item Description],"")</f>
        <v/>
      </c>
    </row>
    <row r="94" spans="1:9" ht="15" thickBot="1" x14ac:dyDescent="0.4">
      <c r="A94" s="35">
        <f t="shared" si="7"/>
        <v>0</v>
      </c>
      <c r="B94" s="42" t="e">
        <f t="shared" si="8"/>
        <v>#N/A</v>
      </c>
      <c r="C94" s="42" t="e">
        <f>IF(A94="","",VLOOKUP(A94,'STOCK CONTROL SHEET'!Details,3,FALSE))</f>
        <v>#N/A</v>
      </c>
      <c r="D94" s="42">
        <f t="shared" si="9"/>
        <v>0</v>
      </c>
      <c r="E94" s="42">
        <f t="shared" si="10"/>
        <v>1</v>
      </c>
      <c r="F94" s="144"/>
      <c r="G94" s="44">
        <f t="shared" si="11"/>
        <v>0</v>
      </c>
      <c r="H94" s="43" t="e">
        <f>IF(Table2[[#This Row],[Quantity]]&gt;Table2[[#This Row],[Reorder Levels]],Table2[Item Description],"")</f>
        <v>#N/A</v>
      </c>
      <c r="I94" s="43" t="str">
        <f>IF(Table2[[#This Row],[Quantity]]&lt;=Table2[[#This Row],[Reorder Levels]],Table2[Item Description],"")</f>
        <v/>
      </c>
    </row>
    <row r="95" spans="1:9" ht="15" thickBot="1" x14ac:dyDescent="0.4">
      <c r="A95" s="35">
        <f t="shared" si="7"/>
        <v>200016</v>
      </c>
      <c r="B95" s="42" t="str">
        <f t="shared" si="8"/>
        <v xml:space="preserve">HP Laserjet Tonner 3972 A (Yellow) </v>
      </c>
      <c r="C95" s="42" t="str">
        <f>IF(A95="","",VLOOKUP(A95,'STOCK CONTROL SHEET'!Details,3,FALSE))</f>
        <v>NO</v>
      </c>
      <c r="D95" s="42">
        <f t="shared" si="9"/>
        <v>2</v>
      </c>
      <c r="E95" s="42">
        <f t="shared" si="10"/>
        <v>2</v>
      </c>
      <c r="F95" s="144"/>
      <c r="G95" s="44">
        <f t="shared" si="11"/>
        <v>200016</v>
      </c>
      <c r="H95" s="43" t="str">
        <f>IF(Table2[[#This Row],[Quantity]]&gt;Table2[[#This Row],[Reorder Levels]],Table2[Item Description],"")</f>
        <v/>
      </c>
      <c r="I95" s="43" t="str">
        <f>IF(Table2[[#This Row],[Quantity]]&lt;=Table2[[#This Row],[Reorder Levels]],Table2[Item Description],"")</f>
        <v xml:space="preserve">HP Laserjet Tonner 3972 A (Yellow) </v>
      </c>
    </row>
    <row r="96" spans="1:9" ht="15" thickBot="1" x14ac:dyDescent="0.4">
      <c r="A96" s="35">
        <f t="shared" si="7"/>
        <v>200011</v>
      </c>
      <c r="B96" s="42" t="str">
        <f t="shared" si="8"/>
        <v xml:space="preserve">HP Laserjet Tonner 4000T CF4127X (4050N) </v>
      </c>
      <c r="C96" s="42" t="str">
        <f>IF(A96="","",VLOOKUP(A96,'STOCK CONTROL SHEET'!Details,3,FALSE))</f>
        <v>NO</v>
      </c>
      <c r="D96" s="42">
        <f t="shared" si="9"/>
        <v>3</v>
      </c>
      <c r="E96" s="42">
        <f t="shared" si="10"/>
        <v>4</v>
      </c>
      <c r="F96" s="144"/>
      <c r="G96" s="44">
        <f t="shared" si="11"/>
        <v>200011</v>
      </c>
      <c r="H96" s="43" t="str">
        <f>IF(Table2[[#This Row],[Quantity]]&gt;Table2[[#This Row],[Reorder Levels]],Table2[Item Description],"")</f>
        <v xml:space="preserve">HP Laserjet Tonner 4000T CF4127X (4050N) </v>
      </c>
      <c r="I96" s="43" t="str">
        <f>IF(Table2[[#This Row],[Quantity]]&lt;=Table2[[#This Row],[Reorder Levels]],Table2[Item Description],"")</f>
        <v/>
      </c>
    </row>
    <row r="97" spans="1:9" ht="15" thickBot="1" x14ac:dyDescent="0.4">
      <c r="A97" s="35">
        <f t="shared" si="7"/>
        <v>100237</v>
      </c>
      <c r="B97" s="42" t="str">
        <f t="shared" si="8"/>
        <v>Toner HP 59A Black (259A)</v>
      </c>
      <c r="C97" s="42" t="str">
        <f>IF(A97="","",VLOOKUP(A97,'STOCK CONTROL SHEET'!Details,3,FALSE))</f>
        <v>NO</v>
      </c>
      <c r="D97" s="42">
        <f t="shared" si="9"/>
        <v>0</v>
      </c>
      <c r="E97" s="42">
        <f t="shared" si="10"/>
        <v>0</v>
      </c>
      <c r="F97" s="144"/>
      <c r="G97" s="44">
        <f t="shared" si="11"/>
        <v>100237</v>
      </c>
      <c r="H97" s="43" t="str">
        <f>IF(Table2[[#This Row],[Quantity]]&gt;Table2[[#This Row],[Reorder Levels]],Table2[Item Description],"")</f>
        <v/>
      </c>
      <c r="I97" s="43" t="str">
        <f>IF(Table2[[#This Row],[Quantity]]&lt;=Table2[[#This Row],[Reorder Levels]],Table2[Item Description],"")</f>
        <v>Toner HP 59A Black (259A)</v>
      </c>
    </row>
    <row r="98" spans="1:9" ht="15" thickBot="1" x14ac:dyDescent="0.4">
      <c r="A98" s="35">
        <f t="shared" si="7"/>
        <v>200089</v>
      </c>
      <c r="B98" s="42" t="str">
        <f t="shared" si="8"/>
        <v>Tonner Kyocera 4053A (Magenta) 8517m</v>
      </c>
      <c r="C98" s="42" t="str">
        <f>IF(A98="","",VLOOKUP(A98,'STOCK CONTROL SHEET'!Details,3,FALSE))</f>
        <v>NO</v>
      </c>
      <c r="D98" s="42">
        <f t="shared" si="9"/>
        <v>2</v>
      </c>
      <c r="E98" s="42">
        <f t="shared" si="10"/>
        <v>4</v>
      </c>
      <c r="F98" s="144"/>
      <c r="G98" s="44">
        <f t="shared" si="11"/>
        <v>200089</v>
      </c>
      <c r="H98" s="43" t="str">
        <f>IF(Table2[[#This Row],[Quantity]]&gt;Table2[[#This Row],[Reorder Levels]],Table2[Item Description],"")</f>
        <v>Tonner Kyocera 4053A (Magenta) 8517m</v>
      </c>
      <c r="I98" s="43" t="str">
        <f>IF(Table2[[#This Row],[Quantity]]&lt;=Table2[[#This Row],[Reorder Levels]],Table2[Item Description],"")</f>
        <v/>
      </c>
    </row>
    <row r="99" spans="1:9" ht="15" thickBot="1" x14ac:dyDescent="0.4">
      <c r="A99" s="35">
        <f t="shared" si="7"/>
        <v>200019</v>
      </c>
      <c r="B99" s="42" t="str">
        <f t="shared" si="8"/>
        <v xml:space="preserve">Tonner CE 390A </v>
      </c>
      <c r="C99" s="42" t="str">
        <f>IF(A99="","",VLOOKUP(A99,'STOCK CONTROL SHEET'!Details,3,FALSE))</f>
        <v>NO</v>
      </c>
      <c r="D99" s="42">
        <f t="shared" si="9"/>
        <v>4</v>
      </c>
      <c r="E99" s="42">
        <f t="shared" si="10"/>
        <v>9</v>
      </c>
      <c r="F99" s="144"/>
      <c r="G99" s="44">
        <f t="shared" si="11"/>
        <v>200019</v>
      </c>
      <c r="H99" s="43" t="str">
        <f>IF(Table2[[#This Row],[Quantity]]&gt;Table2[[#This Row],[Reorder Levels]],Table2[Item Description],"")</f>
        <v xml:space="preserve">Tonner CE 390A </v>
      </c>
      <c r="I99" s="43" t="str">
        <f>IF(Table2[[#This Row],[Quantity]]&lt;=Table2[[#This Row],[Reorder Levels]],Table2[Item Description],"")</f>
        <v/>
      </c>
    </row>
    <row r="100" spans="1:9" ht="15" thickBot="1" x14ac:dyDescent="0.4">
      <c r="A100" s="35">
        <f t="shared" si="7"/>
        <v>200015</v>
      </c>
      <c r="B100" s="42" t="str">
        <f t="shared" si="8"/>
        <v>Toner Cartridge HP C8543X (9040N)</v>
      </c>
      <c r="C100" s="42" t="str">
        <f>IF(A100="","",VLOOKUP(A100,'STOCK CONTROL SHEET'!Details,3,FALSE))</f>
        <v>NO</v>
      </c>
      <c r="D100" s="42">
        <f t="shared" si="9"/>
        <v>0</v>
      </c>
      <c r="E100" s="42">
        <f t="shared" si="10"/>
        <v>0</v>
      </c>
      <c r="F100" s="144"/>
      <c r="G100" s="44">
        <f t="shared" si="11"/>
        <v>200015</v>
      </c>
      <c r="H100" s="43" t="str">
        <f>IF(Table2[[#This Row],[Quantity]]&gt;Table2[[#This Row],[Reorder Levels]],Table2[Item Description],"")</f>
        <v/>
      </c>
      <c r="I100" s="43" t="str">
        <f>IF(Table2[[#This Row],[Quantity]]&lt;=Table2[[#This Row],[Reorder Levels]],Table2[Item Description],"")</f>
        <v>Toner Cartridge HP C8543X (9040N)</v>
      </c>
    </row>
    <row r="101" spans="1:9" ht="15" thickBot="1" x14ac:dyDescent="0.4">
      <c r="A101" s="35">
        <f t="shared" si="7"/>
        <v>200085</v>
      </c>
      <c r="B101" s="42" t="str">
        <f t="shared" si="8"/>
        <v>Tonner TK 8515 (Cyan) 5053</v>
      </c>
      <c r="C101" s="42" t="str">
        <f>IF(A101="","",VLOOKUP(A101,'STOCK CONTROL SHEET'!Details,3,FALSE))</f>
        <v>NO</v>
      </c>
      <c r="D101" s="42">
        <f t="shared" si="9"/>
        <v>2</v>
      </c>
      <c r="E101" s="42">
        <f t="shared" si="10"/>
        <v>8</v>
      </c>
      <c r="F101" s="144"/>
      <c r="G101" s="44">
        <f t="shared" si="11"/>
        <v>200085</v>
      </c>
      <c r="H101" s="43" t="str">
        <f>IF(Table2[[#This Row],[Quantity]]&gt;Table2[[#This Row],[Reorder Levels]],Table2[Item Description],"")</f>
        <v>Tonner TK 8515 (Cyan) 5053</v>
      </c>
      <c r="I101" s="43" t="str">
        <f>IF(Table2[[#This Row],[Quantity]]&lt;=Table2[[#This Row],[Reorder Levels]],Table2[Item Description],"")</f>
        <v/>
      </c>
    </row>
    <row r="102" spans="1:9" ht="15" thickBot="1" x14ac:dyDescent="0.4">
      <c r="A102" s="35">
        <f t="shared" si="7"/>
        <v>200083</v>
      </c>
      <c r="B102" s="42" t="str">
        <f t="shared" si="8"/>
        <v>Tonner 8515TK (Yellow) 5053</v>
      </c>
      <c r="C102" s="42" t="str">
        <f>IF(A102="","",VLOOKUP(A102,'STOCK CONTROL SHEET'!Details,3,FALSE))</f>
        <v>NO</v>
      </c>
      <c r="D102" s="42">
        <f t="shared" si="9"/>
        <v>2</v>
      </c>
      <c r="E102" s="42">
        <f t="shared" si="10"/>
        <v>8</v>
      </c>
      <c r="F102" s="144"/>
      <c r="G102" s="44">
        <f t="shared" si="11"/>
        <v>200083</v>
      </c>
      <c r="H102" s="43" t="str">
        <f>IF(Table2[[#This Row],[Quantity]]&gt;Table2[[#This Row],[Reorder Levels]],Table2[Item Description],"")</f>
        <v>Tonner 8515TK (Yellow) 5053</v>
      </c>
      <c r="I102" s="43" t="str">
        <f>IF(Table2[[#This Row],[Quantity]]&lt;=Table2[[#This Row],[Reorder Levels]],Table2[Item Description],"")</f>
        <v/>
      </c>
    </row>
    <row r="103" spans="1:9" ht="15" thickBot="1" x14ac:dyDescent="0.4">
      <c r="A103" s="35">
        <f t="shared" ref="A103:A124" si="12">COMPMaterialNo</f>
        <v>200084</v>
      </c>
      <c r="B103" s="42" t="str">
        <f t="shared" ref="B103:B124" si="13">IF(A103="","",VLOOKUP(A103,COMP.STOREPRIMARY,2,FALSE))</f>
        <v>Tonner 8515TK (Magenta) 5053</v>
      </c>
      <c r="C103" s="42" t="str">
        <f>IF(A103="","",VLOOKUP(A103,'STOCK CONTROL SHEET'!Details,3,FALSE))</f>
        <v>NO</v>
      </c>
      <c r="D103" s="42">
        <f t="shared" ref="D103:D124" si="14">COMP.STOREReorderLevels</f>
        <v>2</v>
      </c>
      <c r="E103" s="42">
        <f t="shared" ref="E103:E124" si="15">COMP.STOREPhysicalBal.</f>
        <v>6</v>
      </c>
      <c r="F103" s="144"/>
      <c r="G103" s="44">
        <f t="shared" ref="G103:G124" si="16">COMPMaterialNo</f>
        <v>200084</v>
      </c>
      <c r="H103" s="43" t="str">
        <f>IF(Table2[[#This Row],[Quantity]]&gt;Table2[[#This Row],[Reorder Levels]],Table2[Item Description],"")</f>
        <v>Tonner 8515TK (Magenta) 5053</v>
      </c>
      <c r="I103" s="43" t="str">
        <f>IF(Table2[[#This Row],[Quantity]]&lt;=Table2[[#This Row],[Reorder Levels]],Table2[Item Description],"")</f>
        <v/>
      </c>
    </row>
    <row r="104" spans="1:9" ht="15" thickBot="1" x14ac:dyDescent="0.4">
      <c r="A104" s="35">
        <f t="shared" si="12"/>
        <v>200086</v>
      </c>
      <c r="B104" s="42" t="str">
        <f t="shared" si="13"/>
        <v>Tonner TK 8517 KC (Black) 4053</v>
      </c>
      <c r="C104" s="42" t="str">
        <f>IF(A104="","",VLOOKUP(A104,'STOCK CONTROL SHEET'!Details,3,FALSE))</f>
        <v>NO</v>
      </c>
      <c r="D104" s="42">
        <f t="shared" si="14"/>
        <v>2</v>
      </c>
      <c r="E104" s="42">
        <f t="shared" si="15"/>
        <v>5</v>
      </c>
      <c r="F104" s="144"/>
      <c r="G104" s="44">
        <f t="shared" si="16"/>
        <v>200086</v>
      </c>
      <c r="H104" s="43" t="str">
        <f>IF(Table2[[#This Row],[Quantity]]&gt;Table2[[#This Row],[Reorder Levels]],Table2[Item Description],"")</f>
        <v>Tonner TK 8517 KC (Black) 4053</v>
      </c>
      <c r="I104" s="43" t="str">
        <f>IF(Table2[[#This Row],[Quantity]]&lt;=Table2[[#This Row],[Reorder Levels]],Table2[Item Description],"")</f>
        <v/>
      </c>
    </row>
    <row r="105" spans="1:9" ht="15" thickBot="1" x14ac:dyDescent="0.4">
      <c r="A105" s="35">
        <f t="shared" si="12"/>
        <v>200090</v>
      </c>
      <c r="B105" s="42" t="str">
        <f t="shared" si="13"/>
        <v>Tonner Kyocera TK 8517Y (Yellow) 4053</v>
      </c>
      <c r="C105" s="42" t="str">
        <f>IF(A105="","",VLOOKUP(A105,'STOCK CONTROL SHEET'!Details,3,FALSE))</f>
        <v>NO</v>
      </c>
      <c r="D105" s="42">
        <f t="shared" si="14"/>
        <v>2</v>
      </c>
      <c r="E105" s="42">
        <f t="shared" si="15"/>
        <v>2</v>
      </c>
      <c r="F105" s="144"/>
      <c r="G105" s="44">
        <f t="shared" si="16"/>
        <v>200090</v>
      </c>
      <c r="H105" s="43" t="str">
        <f>IF(Table2[[#This Row],[Quantity]]&gt;Table2[[#This Row],[Reorder Levels]],Table2[Item Description],"")</f>
        <v/>
      </c>
      <c r="I105" s="43" t="str">
        <f>IF(Table2[[#This Row],[Quantity]]&lt;=Table2[[#This Row],[Reorder Levels]],Table2[Item Description],"")</f>
        <v>Tonner Kyocera TK 8517Y (Yellow) 4053</v>
      </c>
    </row>
    <row r="106" spans="1:9" ht="15" thickBot="1" x14ac:dyDescent="0.4">
      <c r="A106" s="35">
        <f t="shared" si="12"/>
        <v>200088</v>
      </c>
      <c r="B106" s="42" t="str">
        <f t="shared" si="13"/>
        <v xml:space="preserve">Tonner Kyocera TK 8517C (Cyan) </v>
      </c>
      <c r="C106" s="42" t="str">
        <f>IF(A106="","",VLOOKUP(A106,'STOCK CONTROL SHEET'!Details,3,FALSE))</f>
        <v>NO</v>
      </c>
      <c r="D106" s="42">
        <f t="shared" si="14"/>
        <v>2</v>
      </c>
      <c r="E106" s="42">
        <f t="shared" si="15"/>
        <v>6</v>
      </c>
      <c r="F106" s="144"/>
      <c r="G106" s="44">
        <f t="shared" si="16"/>
        <v>200088</v>
      </c>
      <c r="H106" s="43" t="str">
        <f>IF(Table2[[#This Row],[Quantity]]&gt;Table2[[#This Row],[Reorder Levels]],Table2[Item Description],"")</f>
        <v xml:space="preserve">Tonner Kyocera TK 8517C (Cyan) </v>
      </c>
      <c r="I106" s="43" t="str">
        <f>IF(Table2[[#This Row],[Quantity]]&lt;=Table2[[#This Row],[Reorder Levels]],Table2[Item Description],"")</f>
        <v/>
      </c>
    </row>
    <row r="107" spans="1:9" ht="15" thickBot="1" x14ac:dyDescent="0.4">
      <c r="A107" s="35">
        <f t="shared" si="12"/>
        <v>200014</v>
      </c>
      <c r="B107" s="42" t="str">
        <f t="shared" si="13"/>
        <v>HP Laserjet Tonner CE 505A Black for L J 2055</v>
      </c>
      <c r="C107" s="42" t="str">
        <f>IF(A107="","",VLOOKUP(A107,'STOCK CONTROL SHEET'!Details,3,FALSE))</f>
        <v>NO</v>
      </c>
      <c r="D107" s="42">
        <f t="shared" si="14"/>
        <v>0</v>
      </c>
      <c r="E107" s="42">
        <f t="shared" si="15"/>
        <v>4</v>
      </c>
      <c r="F107" s="144"/>
      <c r="G107" s="44">
        <f t="shared" si="16"/>
        <v>200014</v>
      </c>
      <c r="H107" s="43" t="str">
        <f>IF(Table2[[#This Row],[Quantity]]&gt;Table2[[#This Row],[Reorder Levels]],Table2[Item Description],"")</f>
        <v>HP Laserjet Tonner CE 505A Black for L J 2055</v>
      </c>
      <c r="I107" s="43" t="str">
        <f>IF(Table2[[#This Row],[Quantity]]&lt;=Table2[[#This Row],[Reorder Levels]],Table2[Item Description],"")</f>
        <v/>
      </c>
    </row>
    <row r="108" spans="1:9" ht="15" thickBot="1" x14ac:dyDescent="0.4">
      <c r="A108" s="35">
        <f t="shared" si="12"/>
        <v>0</v>
      </c>
      <c r="B108" s="42" t="e">
        <f t="shared" si="13"/>
        <v>#N/A</v>
      </c>
      <c r="C108" s="42" t="e">
        <f>IF(A108="","",VLOOKUP(A108,'STOCK CONTROL SHEET'!Details,3,FALSE))</f>
        <v>#N/A</v>
      </c>
      <c r="D108" s="42">
        <f t="shared" si="14"/>
        <v>0</v>
      </c>
      <c r="E108" s="42">
        <f t="shared" si="15"/>
        <v>5</v>
      </c>
      <c r="F108" s="144"/>
      <c r="G108" s="44">
        <f t="shared" si="16"/>
        <v>0</v>
      </c>
      <c r="H108" s="43" t="e">
        <f>IF(Table2[[#This Row],[Quantity]]&gt;Table2[[#This Row],[Reorder Levels]],Table2[Item Description],"")</f>
        <v>#N/A</v>
      </c>
      <c r="I108" s="43" t="str">
        <f>IF(Table2[[#This Row],[Quantity]]&lt;=Table2[[#This Row],[Reorder Levels]],Table2[Item Description],"")</f>
        <v/>
      </c>
    </row>
    <row r="109" spans="1:9" ht="15" thickBot="1" x14ac:dyDescent="0.4">
      <c r="A109" s="35">
        <f t="shared" si="12"/>
        <v>200058</v>
      </c>
      <c r="B109" s="42" t="str">
        <f t="shared" si="13"/>
        <v>Tonner CE 401A (Cyan)</v>
      </c>
      <c r="C109" s="42" t="str">
        <f>IF(A109="","",VLOOKUP(A109,'STOCK CONTROL SHEET'!Details,3,FALSE))</f>
        <v>NO</v>
      </c>
      <c r="D109" s="42">
        <f t="shared" si="14"/>
        <v>0</v>
      </c>
      <c r="E109" s="42">
        <f t="shared" si="15"/>
        <v>0</v>
      </c>
      <c r="F109" s="144"/>
      <c r="G109" s="44">
        <f t="shared" si="16"/>
        <v>200058</v>
      </c>
      <c r="H109" s="43" t="str">
        <f>IF(Table2[[#This Row],[Quantity]]&gt;Table2[[#This Row],[Reorder Levels]],Table2[Item Description],"")</f>
        <v/>
      </c>
      <c r="I109" s="43" t="str">
        <f>IF(Table2[[#This Row],[Quantity]]&lt;=Table2[[#This Row],[Reorder Levels]],Table2[Item Description],"")</f>
        <v>Tonner CE 401A (Cyan)</v>
      </c>
    </row>
    <row r="110" spans="1:9" ht="15" thickBot="1" x14ac:dyDescent="0.4">
      <c r="A110" s="35">
        <f t="shared" si="12"/>
        <v>100173</v>
      </c>
      <c r="B110" s="42" t="str">
        <f t="shared" si="13"/>
        <v>TPS Receipts</v>
      </c>
      <c r="C110" s="42" t="str">
        <f>IF(A110="","",VLOOKUP(A110,'STOCK CONTROL SHEET'!Details,3,FALSE))</f>
        <v>NO</v>
      </c>
      <c r="D110" s="42">
        <f t="shared" si="14"/>
        <v>0</v>
      </c>
      <c r="E110" s="42">
        <f t="shared" si="15"/>
        <v>0</v>
      </c>
      <c r="F110" s="144"/>
      <c r="G110" s="44">
        <f t="shared" si="16"/>
        <v>100173</v>
      </c>
      <c r="H110" s="43" t="str">
        <f>IF(Table2[[#This Row],[Quantity]]&gt;Table2[[#This Row],[Reorder Levels]],Table2[Item Description],"")</f>
        <v/>
      </c>
      <c r="I110" s="43" t="str">
        <f>IF(Table2[[#This Row],[Quantity]]&lt;=Table2[[#This Row],[Reorder Levels]],Table2[Item Description],"")</f>
        <v>TPS Receipts</v>
      </c>
    </row>
    <row r="111" spans="1:9" ht="15" thickBot="1" x14ac:dyDescent="0.4">
      <c r="A111" s="35">
        <f t="shared" si="12"/>
        <v>200054</v>
      </c>
      <c r="B111" s="42" t="str">
        <f t="shared" si="13"/>
        <v>CF 280A Black Laserjet</v>
      </c>
      <c r="C111" s="42" t="str">
        <f>IF(A111="","",VLOOKUP(A111,'STOCK CONTROL SHEET'!Details,3,FALSE))</f>
        <v>NO</v>
      </c>
      <c r="D111" s="42">
        <f t="shared" si="14"/>
        <v>6</v>
      </c>
      <c r="E111" s="42">
        <f t="shared" si="15"/>
        <v>4</v>
      </c>
      <c r="F111" s="144"/>
      <c r="G111" s="44">
        <f t="shared" si="16"/>
        <v>200054</v>
      </c>
      <c r="H111" s="43" t="str">
        <f>IF(Table2[[#This Row],[Quantity]]&gt;Table2[[#This Row],[Reorder Levels]],Table2[Item Description],"")</f>
        <v/>
      </c>
      <c r="I111" s="43" t="str">
        <f>IF(Table2[[#This Row],[Quantity]]&lt;=Table2[[#This Row],[Reorder Levels]],Table2[Item Description],"")</f>
        <v>CF 280A Black Laserjet</v>
      </c>
    </row>
    <row r="112" spans="1:9" ht="15" thickBot="1" x14ac:dyDescent="0.4">
      <c r="A112" s="35">
        <f t="shared" si="12"/>
        <v>200005</v>
      </c>
      <c r="B112" s="42" t="str">
        <f t="shared" si="13"/>
        <v>Laserjet 4250Q 5942A</v>
      </c>
      <c r="C112" s="42" t="str">
        <f>IF(A112="","",VLOOKUP(A112,'STOCK CONTROL SHEET'!Details,3,FALSE))</f>
        <v>NO</v>
      </c>
      <c r="D112" s="42">
        <f t="shared" si="14"/>
        <v>0</v>
      </c>
      <c r="E112" s="42">
        <f t="shared" si="15"/>
        <v>4</v>
      </c>
      <c r="F112" s="144"/>
      <c r="G112" s="44">
        <f t="shared" si="16"/>
        <v>200005</v>
      </c>
      <c r="H112" s="43" t="str">
        <f>IF(Table2[[#This Row],[Quantity]]&gt;Table2[[#This Row],[Reorder Levels]],Table2[Item Description],"")</f>
        <v>Laserjet 4250Q 5942A</v>
      </c>
      <c r="I112" s="43" t="str">
        <f>IF(Table2[[#This Row],[Quantity]]&lt;=Table2[[#This Row],[Reorder Levels]],Table2[Item Description],"")</f>
        <v/>
      </c>
    </row>
    <row r="113" spans="1:9" ht="15" thickBot="1" x14ac:dyDescent="0.4">
      <c r="A113" s="35">
        <f t="shared" si="12"/>
        <v>200006</v>
      </c>
      <c r="B113" s="42" t="str">
        <f t="shared" si="13"/>
        <v>Tonner Laserjet 1320 (5949A)</v>
      </c>
      <c r="C113" s="42" t="str">
        <f>IF(A113="","",VLOOKUP(A113,'STOCK CONTROL SHEET'!Details,3,FALSE))</f>
        <v>NO</v>
      </c>
      <c r="D113" s="42">
        <f t="shared" si="14"/>
        <v>0</v>
      </c>
      <c r="E113" s="42">
        <f t="shared" si="15"/>
        <v>7</v>
      </c>
      <c r="F113" s="144"/>
      <c r="G113" s="44">
        <f t="shared" si="16"/>
        <v>200006</v>
      </c>
      <c r="H113" s="43" t="str">
        <f>IF(Table2[[#This Row],[Quantity]]&gt;Table2[[#This Row],[Reorder Levels]],Table2[Item Description],"")</f>
        <v>Tonner Laserjet 1320 (5949A)</v>
      </c>
      <c r="I113" s="43" t="str">
        <f>IF(Table2[[#This Row],[Quantity]]&lt;=Table2[[#This Row],[Reorder Levels]],Table2[Item Description],"")</f>
        <v/>
      </c>
    </row>
    <row r="114" spans="1:9" ht="15" thickBot="1" x14ac:dyDescent="0.4">
      <c r="A114" s="35">
        <f t="shared" si="12"/>
        <v>0</v>
      </c>
      <c r="B114" s="42" t="e">
        <f t="shared" si="13"/>
        <v>#N/A</v>
      </c>
      <c r="C114" s="42" t="e">
        <f>IF(A114="","",VLOOKUP(A114,'STOCK CONTROL SHEET'!Details,3,FALSE))</f>
        <v>#N/A</v>
      </c>
      <c r="D114" s="42">
        <f t="shared" si="14"/>
        <v>0</v>
      </c>
      <c r="E114" s="42">
        <f t="shared" si="15"/>
        <v>2</v>
      </c>
      <c r="F114" s="144"/>
      <c r="G114" s="44">
        <f t="shared" si="16"/>
        <v>0</v>
      </c>
      <c r="H114" s="43" t="e">
        <f>IF(Table2[[#This Row],[Quantity]]&gt;Table2[[#This Row],[Reorder Levels]],Table2[Item Description],"")</f>
        <v>#N/A</v>
      </c>
      <c r="I114" s="43" t="str">
        <f>IF(Table2[[#This Row],[Quantity]]&lt;=Table2[[#This Row],[Reorder Levels]],Table2[Item Description],"")</f>
        <v/>
      </c>
    </row>
    <row r="115" spans="1:9" ht="15" thickBot="1" x14ac:dyDescent="0.4">
      <c r="A115" s="35">
        <f t="shared" si="12"/>
        <v>0</v>
      </c>
      <c r="B115" s="42" t="e">
        <f t="shared" si="13"/>
        <v>#N/A</v>
      </c>
      <c r="C115" s="42" t="e">
        <f>IF(A115="","",VLOOKUP(A115,'STOCK CONTROL SHEET'!Details,3,FALSE))</f>
        <v>#N/A</v>
      </c>
      <c r="D115" s="42">
        <f t="shared" si="14"/>
        <v>0</v>
      </c>
      <c r="E115" s="42">
        <f t="shared" si="15"/>
        <v>2</v>
      </c>
      <c r="F115" s="144"/>
      <c r="G115" s="44">
        <f t="shared" si="16"/>
        <v>0</v>
      </c>
      <c r="H115" s="43" t="e">
        <f>IF(Table2[[#This Row],[Quantity]]&gt;Table2[[#This Row],[Reorder Levels]],Table2[Item Description],"")</f>
        <v>#N/A</v>
      </c>
      <c r="I115" s="43" t="str">
        <f>IF(Table2[[#This Row],[Quantity]]&lt;=Table2[[#This Row],[Reorder Levels]],Table2[Item Description],"")</f>
        <v/>
      </c>
    </row>
    <row r="116" spans="1:9" ht="15" thickBot="1" x14ac:dyDescent="0.4">
      <c r="A116" s="35">
        <f t="shared" si="12"/>
        <v>200025</v>
      </c>
      <c r="B116" s="42" t="str">
        <f t="shared" si="13"/>
        <v>Tonner DLQ 3500 (Black) SO 15066</v>
      </c>
      <c r="C116" s="42" t="str">
        <f>IF(A116="","",VLOOKUP(A116,'STOCK CONTROL SHEET'!Details,3,FALSE))</f>
        <v>NO</v>
      </c>
      <c r="D116" s="42">
        <f t="shared" si="14"/>
        <v>0</v>
      </c>
      <c r="E116" s="42">
        <f t="shared" si="15"/>
        <v>0</v>
      </c>
      <c r="F116" s="144"/>
      <c r="G116" s="44">
        <f t="shared" si="16"/>
        <v>200025</v>
      </c>
      <c r="H116" s="43" t="str">
        <f>IF(Table2[[#This Row],[Quantity]]&gt;Table2[[#This Row],[Reorder Levels]],Table2[Item Description],"")</f>
        <v/>
      </c>
      <c r="I116" s="43" t="str">
        <f>IF(Table2[[#This Row],[Quantity]]&lt;=Table2[[#This Row],[Reorder Levels]],Table2[Item Description],"")</f>
        <v>Tonner DLQ 3500 (Black) SO 15066</v>
      </c>
    </row>
    <row r="117" spans="1:9" ht="15" thickBot="1" x14ac:dyDescent="0.4">
      <c r="A117" s="35">
        <f t="shared" si="12"/>
        <v>200022</v>
      </c>
      <c r="B117" s="42" t="str">
        <f t="shared" si="13"/>
        <v xml:space="preserve">Tally Ribbon </v>
      </c>
      <c r="C117" s="42" t="str">
        <f>IF(A117="","",VLOOKUP(A117,'STOCK CONTROL SHEET'!Details,3,FALSE))</f>
        <v>PCS</v>
      </c>
      <c r="D117" s="42">
        <f t="shared" si="14"/>
        <v>0</v>
      </c>
      <c r="E117" s="42">
        <f t="shared" si="15"/>
        <v>18</v>
      </c>
      <c r="F117" s="144"/>
      <c r="G117" s="44">
        <f t="shared" si="16"/>
        <v>200022</v>
      </c>
      <c r="H117" s="43" t="str">
        <f>IF(Table2[[#This Row],[Quantity]]&gt;Table2[[#This Row],[Reorder Levels]],Table2[Item Description],"")</f>
        <v xml:space="preserve">Tally Ribbon </v>
      </c>
      <c r="I117" s="43" t="str">
        <f>IF(Table2[[#This Row],[Quantity]]&lt;=Table2[[#This Row],[Reorder Levels]],Table2[Item Description],"")</f>
        <v/>
      </c>
    </row>
    <row r="118" spans="1:9" ht="15" thickBot="1" x14ac:dyDescent="0.4">
      <c r="A118" s="35">
        <f t="shared" si="12"/>
        <v>200018</v>
      </c>
      <c r="B118" s="42" t="str">
        <f t="shared" si="13"/>
        <v>Laserjet Tonner 7553A (2015D)</v>
      </c>
      <c r="C118" s="42" t="str">
        <f>IF(A118="","",VLOOKUP(A118,'STOCK CONTROL SHEET'!Details,3,FALSE))</f>
        <v>NO</v>
      </c>
      <c r="D118" s="42">
        <f t="shared" si="14"/>
        <v>3</v>
      </c>
      <c r="E118" s="42">
        <f t="shared" si="15"/>
        <v>2</v>
      </c>
      <c r="F118" s="144"/>
      <c r="G118" s="44">
        <f t="shared" si="16"/>
        <v>200018</v>
      </c>
      <c r="H118" s="43" t="str">
        <f>IF(Table2[[#This Row],[Quantity]]&gt;Table2[[#This Row],[Reorder Levels]],Table2[Item Description],"")</f>
        <v/>
      </c>
      <c r="I118" s="43" t="str">
        <f>IF(Table2[[#This Row],[Quantity]]&lt;=Table2[[#This Row],[Reorder Levels]],Table2[Item Description],"")</f>
        <v>Laserjet Tonner 7553A (2015D)</v>
      </c>
    </row>
    <row r="119" spans="1:9" ht="15" thickBot="1" x14ac:dyDescent="0.4">
      <c r="A119" s="35">
        <f t="shared" si="12"/>
        <v>200053</v>
      </c>
      <c r="B119" s="42" t="str">
        <f t="shared" si="13"/>
        <v>Tonner CE 255A (Black)</v>
      </c>
      <c r="C119" s="42" t="str">
        <f>IF(A119="","",VLOOKUP(A119,'STOCK CONTROL SHEET'!Details,3,FALSE))</f>
        <v>NO</v>
      </c>
      <c r="D119" s="42">
        <f t="shared" si="14"/>
        <v>23</v>
      </c>
      <c r="E119" s="42">
        <f t="shared" si="15"/>
        <v>15</v>
      </c>
      <c r="F119" s="144"/>
      <c r="G119" s="44">
        <f t="shared" si="16"/>
        <v>200053</v>
      </c>
      <c r="H119" s="43" t="str">
        <f>IF(Table2[[#This Row],[Quantity]]&gt;Table2[[#This Row],[Reorder Levels]],Table2[Item Description],"")</f>
        <v/>
      </c>
      <c r="I119" s="43" t="str">
        <f>IF(Table2[[#This Row],[Quantity]]&lt;=Table2[[#This Row],[Reorder Levels]],Table2[Item Description],"")</f>
        <v>Tonner CE 255A (Black)</v>
      </c>
    </row>
    <row r="120" spans="1:9" ht="15" thickBot="1" x14ac:dyDescent="0.4">
      <c r="A120" s="35">
        <f t="shared" si="12"/>
        <v>200027</v>
      </c>
      <c r="B120" s="42" t="str">
        <f t="shared" si="13"/>
        <v>Oki ML 4410 Ribbon Dot Matrix</v>
      </c>
      <c r="C120" s="42" t="str">
        <f>IF(A120="","",VLOOKUP(A120,'STOCK CONTROL SHEET'!Details,3,FALSE))</f>
        <v>NO</v>
      </c>
      <c r="D120" s="42">
        <f t="shared" si="14"/>
        <v>0</v>
      </c>
      <c r="E120" s="42">
        <f t="shared" si="15"/>
        <v>2</v>
      </c>
      <c r="F120" s="144"/>
      <c r="G120" s="44">
        <f t="shared" si="16"/>
        <v>200027</v>
      </c>
      <c r="H120" s="43" t="str">
        <f>IF(Table2[[#This Row],[Quantity]]&gt;Table2[[#This Row],[Reorder Levels]],Table2[Item Description],"")</f>
        <v>Oki ML 4410 Ribbon Dot Matrix</v>
      </c>
      <c r="I120" s="43" t="str">
        <f>IF(Table2[[#This Row],[Quantity]]&lt;=Table2[[#This Row],[Reorder Levels]],Table2[Item Description],"")</f>
        <v/>
      </c>
    </row>
    <row r="121" spans="1:9" ht="15" thickBot="1" x14ac:dyDescent="0.4">
      <c r="A121" s="35">
        <f t="shared" si="12"/>
        <v>200004</v>
      </c>
      <c r="B121" s="42" t="str">
        <f t="shared" si="13"/>
        <v>Tonner Laserjet 1300</v>
      </c>
      <c r="C121" s="42" t="str">
        <f>IF(A121="","",VLOOKUP(A121,'STOCK CONTROL SHEET'!Details,3,FALSE))</f>
        <v>NO</v>
      </c>
      <c r="D121" s="42">
        <f t="shared" si="14"/>
        <v>0</v>
      </c>
      <c r="E121" s="42">
        <f t="shared" si="15"/>
        <v>0</v>
      </c>
      <c r="F121" s="144"/>
      <c r="G121" s="44">
        <f t="shared" si="16"/>
        <v>200004</v>
      </c>
      <c r="H121" s="43" t="str">
        <f>IF(Table2[[#This Row],[Quantity]]&gt;Table2[[#This Row],[Reorder Levels]],Table2[Item Description],"")</f>
        <v/>
      </c>
      <c r="I121" s="43" t="str">
        <f>IF(Table2[[#This Row],[Quantity]]&lt;=Table2[[#This Row],[Reorder Levels]],Table2[Item Description],"")</f>
        <v>Tonner Laserjet 1300</v>
      </c>
    </row>
    <row r="122" spans="1:9" ht="15" thickBot="1" x14ac:dyDescent="0.4">
      <c r="A122" s="35">
        <f t="shared" si="12"/>
        <v>200003</v>
      </c>
      <c r="B122" s="42" t="str">
        <f t="shared" si="13"/>
        <v>Tonner Laserjet HD 7115A (1200)</v>
      </c>
      <c r="C122" s="42" t="str">
        <f>IF(A122="","",VLOOKUP(A122,'STOCK CONTROL SHEET'!Details,3,FALSE))</f>
        <v>NO</v>
      </c>
      <c r="D122" s="42">
        <f t="shared" si="14"/>
        <v>2</v>
      </c>
      <c r="E122" s="42">
        <f t="shared" si="15"/>
        <v>5</v>
      </c>
      <c r="F122" s="144"/>
      <c r="G122" s="44">
        <f t="shared" si="16"/>
        <v>200003</v>
      </c>
      <c r="H122" s="43" t="str">
        <f>IF(Table2[[#This Row],[Quantity]]&gt;Table2[[#This Row],[Reorder Levels]],Table2[Item Description],"")</f>
        <v>Tonner Laserjet HD 7115A (1200)</v>
      </c>
      <c r="I122" s="43" t="str">
        <f>IF(Table2[[#This Row],[Quantity]]&lt;=Table2[[#This Row],[Reorder Levels]],Table2[Item Description],"")</f>
        <v/>
      </c>
    </row>
    <row r="123" spans="1:9" ht="15" thickBot="1" x14ac:dyDescent="0.4">
      <c r="A123" s="35">
        <f t="shared" si="12"/>
        <v>200081</v>
      </c>
      <c r="B123" s="42" t="str">
        <f t="shared" si="13"/>
        <v>Tonner 8515K (Black) 5053</v>
      </c>
      <c r="C123" s="42" t="str">
        <f>IF(A123="","",VLOOKUP(A123,'STOCK CONTROL SHEET'!Details,3,FALSE))</f>
        <v>NO</v>
      </c>
      <c r="D123" s="42">
        <f t="shared" si="14"/>
        <v>2</v>
      </c>
      <c r="E123" s="42">
        <f t="shared" si="15"/>
        <v>9</v>
      </c>
      <c r="F123" s="144"/>
      <c r="G123" s="44">
        <f t="shared" si="16"/>
        <v>200081</v>
      </c>
      <c r="H123" s="43" t="str">
        <f>IF(Table2[[#This Row],[Quantity]]&gt;Table2[[#This Row],[Reorder Levels]],Table2[Item Description],"")</f>
        <v>Tonner 8515K (Black) 5053</v>
      </c>
      <c r="I123" s="43" t="str">
        <f>IF(Table2[[#This Row],[Quantity]]&lt;=Table2[[#This Row],[Reorder Levels]],Table2[Item Description],"")</f>
        <v/>
      </c>
    </row>
    <row r="124" spans="1:9" ht="15" thickBot="1" x14ac:dyDescent="0.4">
      <c r="A124" s="35">
        <f t="shared" si="12"/>
        <v>200017</v>
      </c>
      <c r="B124" s="42" t="str">
        <f t="shared" si="13"/>
        <v>Lex Mark C920 Ribbon Magenta</v>
      </c>
      <c r="C124" s="42" t="str">
        <f>IF(A124="","",VLOOKUP(A124,'STOCK CONTROL SHEET'!Details,3,FALSE))</f>
        <v>NO</v>
      </c>
      <c r="D124" s="42">
        <f t="shared" si="14"/>
        <v>1</v>
      </c>
      <c r="E124" s="42">
        <f t="shared" si="15"/>
        <v>7</v>
      </c>
      <c r="F124" s="145"/>
      <c r="G124" s="44">
        <f t="shared" si="16"/>
        <v>200017</v>
      </c>
      <c r="H124" s="43" t="str">
        <f>IF(Table2[[#This Row],[Quantity]]&gt;Table2[[#This Row],[Reorder Levels]],Table2[Item Description],"")</f>
        <v>Lex Mark C920 Ribbon Magenta</v>
      </c>
      <c r="I124" s="43" t="str">
        <f>IF(Table2[[#This Row],[Quantity]]&lt;=Table2[[#This Row],[Reorder Levels]],Table2[Item Description],"")</f>
        <v/>
      </c>
    </row>
    <row r="125" spans="1:9" ht="15" thickBot="1" x14ac:dyDescent="0.4">
      <c r="A125" s="35">
        <f t="shared" ref="A125:A172" si="17">MAINTMaterialNo</f>
        <v>282022</v>
      </c>
      <c r="B125" s="42" t="str">
        <f t="shared" ref="B125:B172" si="18">IF(A125="","",VLOOKUP(A125,MAINT.STOREPRIMARY,2,FALSE))</f>
        <v>Air Freshener</v>
      </c>
      <c r="C125" s="42" t="str">
        <f>IF(A125="","",VLOOKUP(A125,'STOCK CONTROL SHEET'!Details,3,FALSE))</f>
        <v>NO</v>
      </c>
      <c r="D125" s="42">
        <f t="shared" ref="D125:D172" si="19">MAINT.STOREReorderLevels</f>
        <v>0</v>
      </c>
      <c r="E125" s="42">
        <f t="shared" ref="E125:E172" si="20">MAINT.STOREPhysicalStockBal.</f>
        <v>34</v>
      </c>
      <c r="F125" s="130" t="s">
        <v>191</v>
      </c>
      <c r="G125" s="44">
        <f t="shared" ref="G125:G172" si="21">MAINTMaterialNo</f>
        <v>282022</v>
      </c>
      <c r="H125" s="43" t="str">
        <f>IF(Table2[[#This Row],[Quantity]]&gt;Table2[[#This Row],[Reorder Levels]],Table2[Item Description],"")</f>
        <v>Air Freshener</v>
      </c>
      <c r="I125" s="43" t="str">
        <f>IF(Table2[[#This Row],[Quantity]]&lt;=Table2[[#This Row],[Reorder Levels]],Table2[Item Description],"")</f>
        <v/>
      </c>
    </row>
    <row r="126" spans="1:9" ht="15" thickBot="1" x14ac:dyDescent="0.4">
      <c r="A126" s="35">
        <f t="shared" si="17"/>
        <v>282018</v>
      </c>
      <c r="B126" s="42" t="str">
        <f t="shared" si="18"/>
        <v>Bar Soaps</v>
      </c>
      <c r="C126" s="42" t="str">
        <f>IF(A126="","",VLOOKUP(A126,'STOCK CONTROL SHEET'!Details,3,FALSE))</f>
        <v>PCS</v>
      </c>
      <c r="D126" s="42">
        <f t="shared" si="19"/>
        <v>0</v>
      </c>
      <c r="E126" s="42">
        <f t="shared" si="20"/>
        <v>336</v>
      </c>
      <c r="F126" s="131"/>
      <c r="G126" s="44">
        <f t="shared" si="21"/>
        <v>282018</v>
      </c>
      <c r="H126" s="43" t="str">
        <f>IF(Table2[[#This Row],[Quantity]]&gt;Table2[[#This Row],[Reorder Levels]],Table2[Item Description],"")</f>
        <v>Bar Soaps</v>
      </c>
      <c r="I126" s="43" t="str">
        <f>IF(Table2[[#This Row],[Quantity]]&lt;=Table2[[#This Row],[Reorder Levels]],Table2[Item Description],"")</f>
        <v/>
      </c>
    </row>
    <row r="127" spans="1:9" ht="15" thickBot="1" x14ac:dyDescent="0.4">
      <c r="A127" s="35">
        <f t="shared" si="17"/>
        <v>252014</v>
      </c>
      <c r="B127" s="42" t="str">
        <f t="shared" si="18"/>
        <v>4-Way Extension Socket</v>
      </c>
      <c r="C127" s="42" t="str">
        <f>IF(A127="","",VLOOKUP(A127,'STOCK CONTROL SHEET'!Details,3,FALSE))</f>
        <v>NO</v>
      </c>
      <c r="D127" s="42">
        <f t="shared" si="19"/>
        <v>6</v>
      </c>
      <c r="E127" s="42">
        <f t="shared" si="20"/>
        <v>23</v>
      </c>
      <c r="F127" s="131"/>
      <c r="G127" s="44">
        <f t="shared" si="21"/>
        <v>252014</v>
      </c>
      <c r="H127" s="43" t="str">
        <f>IF(Table2[[#This Row],[Quantity]]&gt;Table2[[#This Row],[Reorder Levels]],Table2[Item Description],"")</f>
        <v>4-Way Extension Socket</v>
      </c>
      <c r="I127" s="43" t="str">
        <f>IF(Table2[[#This Row],[Quantity]]&lt;=Table2[[#This Row],[Reorder Levels]],Table2[Item Description],"")</f>
        <v/>
      </c>
    </row>
    <row r="128" spans="1:9" ht="15" thickBot="1" x14ac:dyDescent="0.4">
      <c r="A128" s="35">
        <f t="shared" si="17"/>
        <v>252015</v>
      </c>
      <c r="B128" s="42" t="str">
        <f t="shared" si="18"/>
        <v>Single Socket</v>
      </c>
      <c r="C128" s="42" t="str">
        <f>IF(A128="","",VLOOKUP(A128,'STOCK CONTROL SHEET'!Details,3,FALSE))</f>
        <v>NO</v>
      </c>
      <c r="D128" s="42">
        <f t="shared" si="19"/>
        <v>0</v>
      </c>
      <c r="E128" s="42">
        <f t="shared" si="20"/>
        <v>24</v>
      </c>
      <c r="F128" s="131"/>
      <c r="G128" s="44">
        <f t="shared" si="21"/>
        <v>252015</v>
      </c>
      <c r="H128" s="43" t="str">
        <f>IF(Table2[[#This Row],[Quantity]]&gt;Table2[[#This Row],[Reorder Levels]],Table2[Item Description],"")</f>
        <v>Single Socket</v>
      </c>
      <c r="I128" s="43" t="str">
        <f>IF(Table2[[#This Row],[Quantity]]&lt;=Table2[[#This Row],[Reorder Levels]],Table2[Item Description],"")</f>
        <v/>
      </c>
    </row>
    <row r="129" spans="1:9" ht="15" thickBot="1" x14ac:dyDescent="0.4">
      <c r="A129" s="35">
        <f t="shared" si="17"/>
        <v>252018</v>
      </c>
      <c r="B129" s="42" t="str">
        <f t="shared" si="18"/>
        <v>13 Amps Top Plug</v>
      </c>
      <c r="C129" s="42" t="str">
        <f>IF(A129="","",VLOOKUP(A129,'STOCK CONTROL SHEET'!Details,3,FALSE))</f>
        <v>NO</v>
      </c>
      <c r="D129" s="42">
        <f t="shared" si="19"/>
        <v>4</v>
      </c>
      <c r="E129" s="42">
        <f t="shared" si="20"/>
        <v>25</v>
      </c>
      <c r="F129" s="131"/>
      <c r="G129" s="44">
        <f t="shared" si="21"/>
        <v>252018</v>
      </c>
      <c r="H129" s="43" t="str">
        <f>IF(Table2[[#This Row],[Quantity]]&gt;Table2[[#This Row],[Reorder Levels]],Table2[Item Description],"")</f>
        <v>13 Amps Top Plug</v>
      </c>
      <c r="I129" s="43" t="str">
        <f>IF(Table2[[#This Row],[Quantity]]&lt;=Table2[[#This Row],[Reorder Levels]],Table2[Item Description],"")</f>
        <v/>
      </c>
    </row>
    <row r="130" spans="1:9" ht="15" thickBot="1" x14ac:dyDescent="0.4">
      <c r="A130" s="35">
        <f t="shared" si="17"/>
        <v>100</v>
      </c>
      <c r="B130" s="42" t="str">
        <f t="shared" si="18"/>
        <v>40 Amp Tap of Unit</v>
      </c>
      <c r="C130" s="42" t="str">
        <f>IF(A130="","",VLOOKUP(A130,'STOCK CONTROL SHEET'!Details,3,FALSE))</f>
        <v>NO</v>
      </c>
      <c r="D130" s="42">
        <f t="shared" si="19"/>
        <v>0</v>
      </c>
      <c r="E130" s="42">
        <f t="shared" si="20"/>
        <v>0</v>
      </c>
      <c r="F130" s="131"/>
      <c r="G130" s="44">
        <f t="shared" si="21"/>
        <v>100</v>
      </c>
      <c r="H130" s="43" t="str">
        <f>IF(Table2[[#This Row],[Quantity]]&gt;Table2[[#This Row],[Reorder Levels]],Table2[Item Description],"")</f>
        <v/>
      </c>
      <c r="I130" s="43" t="str">
        <f>IF(Table2[[#This Row],[Quantity]]&lt;=Table2[[#This Row],[Reorder Levels]],Table2[Item Description],"")</f>
        <v>40 Amp Tap of Unit</v>
      </c>
    </row>
    <row r="131" spans="1:9" ht="15" thickBot="1" x14ac:dyDescent="0.4">
      <c r="A131" s="35">
        <f t="shared" si="17"/>
        <v>101</v>
      </c>
      <c r="B131" s="42" t="str">
        <f t="shared" si="18"/>
        <v>Blower</v>
      </c>
      <c r="C131" s="42" t="str">
        <f>IF(A131="","",VLOOKUP(A131,'STOCK CONTROL SHEET'!Details,3,FALSE))</f>
        <v>NO</v>
      </c>
      <c r="D131" s="42">
        <f t="shared" si="19"/>
        <v>0</v>
      </c>
      <c r="E131" s="42">
        <f t="shared" si="20"/>
        <v>1</v>
      </c>
      <c r="F131" s="131"/>
      <c r="G131" s="44">
        <f t="shared" si="21"/>
        <v>101</v>
      </c>
      <c r="H131" s="43" t="str">
        <f>IF(Table2[[#This Row],[Quantity]]&gt;Table2[[#This Row],[Reorder Levels]],Table2[Item Description],"")</f>
        <v>Blower</v>
      </c>
      <c r="I131" s="43" t="str">
        <f>IF(Table2[[#This Row],[Quantity]]&lt;=Table2[[#This Row],[Reorder Levels]],Table2[Item Description],"")</f>
        <v/>
      </c>
    </row>
    <row r="132" spans="1:9" ht="15" thickBot="1" x14ac:dyDescent="0.4">
      <c r="A132" s="35">
        <f t="shared" si="17"/>
        <v>252040</v>
      </c>
      <c r="B132" s="42" t="str">
        <f t="shared" si="18"/>
        <v>Chokes 4/6/8</v>
      </c>
      <c r="C132" s="42" t="str">
        <f>IF(A132="","",VLOOKUP(A132,'STOCK CONTROL SHEET'!Details,3,FALSE))</f>
        <v>NO</v>
      </c>
      <c r="D132" s="42">
        <f t="shared" si="19"/>
        <v>0</v>
      </c>
      <c r="E132" s="42">
        <f t="shared" si="20"/>
        <v>50</v>
      </c>
      <c r="F132" s="131"/>
      <c r="G132" s="44">
        <f t="shared" si="21"/>
        <v>252040</v>
      </c>
      <c r="H132" s="43" t="str">
        <f>IF(Table2[[#This Row],[Quantity]]&gt;Table2[[#This Row],[Reorder Levels]],Table2[Item Description],"")</f>
        <v>Chokes 4/6/8</v>
      </c>
      <c r="I132" s="43" t="str">
        <f>IF(Table2[[#This Row],[Quantity]]&lt;=Table2[[#This Row],[Reorder Levels]],Table2[Item Description],"")</f>
        <v/>
      </c>
    </row>
    <row r="133" spans="1:9" ht="15" thickBot="1" x14ac:dyDescent="0.4">
      <c r="A133" s="35">
        <f t="shared" si="17"/>
        <v>272002</v>
      </c>
      <c r="B133" s="42" t="str">
        <f t="shared" si="18"/>
        <v>Disposable Gloves</v>
      </c>
      <c r="C133" s="42" t="str">
        <f>IF(A133="","",VLOOKUP(A133,'STOCK CONTROL SHEET'!Details,3,FALSE))</f>
        <v>PAIRS</v>
      </c>
      <c r="D133" s="42">
        <f t="shared" si="19"/>
        <v>0</v>
      </c>
      <c r="E133" s="42">
        <f t="shared" si="20"/>
        <v>100</v>
      </c>
      <c r="F133" s="131"/>
      <c r="G133" s="44">
        <f t="shared" si="21"/>
        <v>272002</v>
      </c>
      <c r="H133" s="43" t="str">
        <f>IF(Table2[[#This Row],[Quantity]]&gt;Table2[[#This Row],[Reorder Levels]],Table2[Item Description],"")</f>
        <v>Disposable Gloves</v>
      </c>
      <c r="I133" s="43" t="str">
        <f>IF(Table2[[#This Row],[Quantity]]&lt;=Table2[[#This Row],[Reorder Levels]],Table2[Item Description],"")</f>
        <v/>
      </c>
    </row>
    <row r="134" spans="1:9" ht="15" thickBot="1" x14ac:dyDescent="0.4">
      <c r="A134" s="35">
        <f t="shared" si="17"/>
        <v>252028</v>
      </c>
      <c r="B134" s="42" t="str">
        <f t="shared" si="18"/>
        <v>Door Closer</v>
      </c>
      <c r="C134" s="42" t="str">
        <f>IF(A134="","",VLOOKUP(A134,'STOCK CONTROL SHEET'!Details,3,FALSE))</f>
        <v>NO</v>
      </c>
      <c r="D134" s="42">
        <f t="shared" si="19"/>
        <v>0</v>
      </c>
      <c r="E134" s="42">
        <f t="shared" si="20"/>
        <v>0</v>
      </c>
      <c r="F134" s="131"/>
      <c r="G134" s="44">
        <f t="shared" si="21"/>
        <v>252028</v>
      </c>
      <c r="H134" s="43" t="str">
        <f>IF(Table2[[#This Row],[Quantity]]&gt;Table2[[#This Row],[Reorder Levels]],Table2[Item Description],"")</f>
        <v/>
      </c>
      <c r="I134" s="43" t="str">
        <f>IF(Table2[[#This Row],[Quantity]]&lt;=Table2[[#This Row],[Reorder Levels]],Table2[Item Description],"")</f>
        <v>Door Closer</v>
      </c>
    </row>
    <row r="135" spans="1:9" ht="15" thickBot="1" x14ac:dyDescent="0.4">
      <c r="A135" s="35">
        <f t="shared" si="17"/>
        <v>105</v>
      </c>
      <c r="B135" s="42" t="str">
        <f t="shared" si="18"/>
        <v>Data Cabinet</v>
      </c>
      <c r="C135" s="42" t="str">
        <f>IF(A135="","",VLOOKUP(A135,'STOCK CONTROL SHEET'!Details,3,FALSE))</f>
        <v>NO</v>
      </c>
      <c r="D135" s="42">
        <f t="shared" si="19"/>
        <v>0</v>
      </c>
      <c r="E135" s="42" t="str">
        <f t="shared" si="20"/>
        <v/>
      </c>
      <c r="F135" s="131"/>
      <c r="G135" s="44">
        <f t="shared" si="21"/>
        <v>105</v>
      </c>
      <c r="H135" s="43" t="str">
        <f>IF(Table2[[#This Row],[Quantity]]&gt;Table2[[#This Row],[Reorder Levels]],Table2[Item Description],"")</f>
        <v>Data Cabinet</v>
      </c>
      <c r="I135" s="43" t="str">
        <f>IF(Table2[[#This Row],[Quantity]]&lt;=Table2[[#This Row],[Reorder Levels]],Table2[Item Description],"")</f>
        <v/>
      </c>
    </row>
    <row r="136" spans="1:9" ht="15" thickBot="1" x14ac:dyDescent="0.4">
      <c r="A136" s="35">
        <f t="shared" si="17"/>
        <v>282030</v>
      </c>
      <c r="B136" s="42" t="str">
        <f t="shared" si="18"/>
        <v>Duster Washing Pads</v>
      </c>
      <c r="C136" s="42" t="str">
        <f>IF(A136="","",VLOOKUP(A136,'STOCK CONTROL SHEET'!Details,3,FALSE))</f>
        <v>NO</v>
      </c>
      <c r="D136" s="42">
        <f t="shared" si="19"/>
        <v>0</v>
      </c>
      <c r="E136" s="42">
        <f t="shared" si="20"/>
        <v>0</v>
      </c>
      <c r="F136" s="131"/>
      <c r="G136" s="44">
        <f t="shared" si="21"/>
        <v>282030</v>
      </c>
      <c r="H136" s="43" t="str">
        <f>IF(Table2[[#This Row],[Quantity]]&gt;Table2[[#This Row],[Reorder Levels]],Table2[Item Description],"")</f>
        <v/>
      </c>
      <c r="I136" s="43" t="str">
        <f>IF(Table2[[#This Row],[Quantity]]&lt;=Table2[[#This Row],[Reorder Levels]],Table2[Item Description],"")</f>
        <v>Duster Washing Pads</v>
      </c>
    </row>
    <row r="137" spans="1:9" ht="15" thickBot="1" x14ac:dyDescent="0.4">
      <c r="A137" s="35">
        <f t="shared" si="17"/>
        <v>252026</v>
      </c>
      <c r="B137" s="42" t="str">
        <f t="shared" si="18"/>
        <v>Deadlock Double Cylinder</v>
      </c>
      <c r="C137" s="42" t="str">
        <f>IF(A137="","",VLOOKUP(A137,'STOCK CONTROL SHEET'!Details,3,FALSE))</f>
        <v>NO</v>
      </c>
      <c r="D137" s="42">
        <f t="shared" si="19"/>
        <v>10</v>
      </c>
      <c r="E137" s="42">
        <f t="shared" si="20"/>
        <v>0</v>
      </c>
      <c r="F137" s="131"/>
      <c r="G137" s="44">
        <f t="shared" si="21"/>
        <v>252026</v>
      </c>
      <c r="H137" s="43" t="str">
        <f>IF(Table2[[#This Row],[Quantity]]&gt;Table2[[#This Row],[Reorder Levels]],Table2[Item Description],"")</f>
        <v/>
      </c>
      <c r="I137" s="43" t="str">
        <f>IF(Table2[[#This Row],[Quantity]]&lt;=Table2[[#This Row],[Reorder Levels]],Table2[Item Description],"")</f>
        <v>Deadlock Double Cylinder</v>
      </c>
    </row>
    <row r="138" spans="1:9" ht="15" thickBot="1" x14ac:dyDescent="0.4">
      <c r="A138" s="35">
        <f t="shared" si="17"/>
        <v>252001</v>
      </c>
      <c r="B138" s="42" t="str">
        <f t="shared" si="18"/>
        <v>Aluminium Door Locks</v>
      </c>
      <c r="C138" s="42" t="str">
        <f>IF(A138="","",VLOOKUP(A138,'STOCK CONTROL SHEET'!Details,3,FALSE))</f>
        <v>NO</v>
      </c>
      <c r="D138" s="42">
        <f t="shared" si="19"/>
        <v>3</v>
      </c>
      <c r="E138" s="42">
        <f t="shared" si="20"/>
        <v>0</v>
      </c>
      <c r="F138" s="131"/>
      <c r="G138" s="44">
        <f t="shared" si="21"/>
        <v>252001</v>
      </c>
      <c r="H138" s="43" t="str">
        <f>IF(Table2[[#This Row],[Quantity]]&gt;Table2[[#This Row],[Reorder Levels]],Table2[Item Description],"")</f>
        <v/>
      </c>
      <c r="I138" s="43" t="str">
        <f>IF(Table2[[#This Row],[Quantity]]&lt;=Table2[[#This Row],[Reorder Levels]],Table2[Item Description],"")</f>
        <v>Aluminium Door Locks</v>
      </c>
    </row>
    <row r="139" spans="1:9" ht="15" thickBot="1" x14ac:dyDescent="0.4">
      <c r="A139" s="35">
        <f t="shared" si="17"/>
        <v>108</v>
      </c>
      <c r="B139" s="42" t="str">
        <f t="shared" si="18"/>
        <v>Flash Handles</v>
      </c>
      <c r="C139" s="42" t="str">
        <f>IF(A139="","",VLOOKUP(A139,'STOCK CONTROL SHEET'!Details,3,FALSE))</f>
        <v>NO</v>
      </c>
      <c r="D139" s="42">
        <f t="shared" si="19"/>
        <v>0</v>
      </c>
      <c r="E139" s="42">
        <f t="shared" si="20"/>
        <v>6</v>
      </c>
      <c r="F139" s="131"/>
      <c r="G139" s="44">
        <f t="shared" si="21"/>
        <v>108</v>
      </c>
      <c r="H139" s="43" t="str">
        <f>IF(Table2[[#This Row],[Quantity]]&gt;Table2[[#This Row],[Reorder Levels]],Table2[Item Description],"")</f>
        <v>Flash Handles</v>
      </c>
      <c r="I139" s="43" t="str">
        <f>IF(Table2[[#This Row],[Quantity]]&lt;=Table2[[#This Row],[Reorder Levels]],Table2[Item Description],"")</f>
        <v/>
      </c>
    </row>
    <row r="140" spans="1:9" ht="15" thickBot="1" x14ac:dyDescent="0.4">
      <c r="A140" s="35">
        <f t="shared" si="17"/>
        <v>252042</v>
      </c>
      <c r="B140" s="42" t="str">
        <f t="shared" si="18"/>
        <v>2-feet LED Tubes</v>
      </c>
      <c r="C140" s="42" t="str">
        <f>IF(A140="","",VLOOKUP(A140,'STOCK CONTROL SHEET'!Details,3,FALSE))</f>
        <v>NO</v>
      </c>
      <c r="D140" s="42">
        <f t="shared" si="19"/>
        <v>25</v>
      </c>
      <c r="E140" s="42">
        <f t="shared" si="20"/>
        <v>475</v>
      </c>
      <c r="F140" s="131"/>
      <c r="G140" s="44">
        <f t="shared" si="21"/>
        <v>252042</v>
      </c>
      <c r="H140" s="43" t="str">
        <f>IF(Table2[[#This Row],[Quantity]]&gt;Table2[[#This Row],[Reorder Levels]],Table2[Item Description],"")</f>
        <v>2-feet LED Tubes</v>
      </c>
      <c r="I140" s="43" t="str">
        <f>IF(Table2[[#This Row],[Quantity]]&lt;=Table2[[#This Row],[Reorder Levels]],Table2[Item Description],"")</f>
        <v/>
      </c>
    </row>
    <row r="141" spans="1:9" ht="15" thickBot="1" x14ac:dyDescent="0.4">
      <c r="A141" s="35">
        <f t="shared" si="17"/>
        <v>252006</v>
      </c>
      <c r="B141" s="42" t="str">
        <f t="shared" si="18"/>
        <v>2-feet Flourescent Tubes</v>
      </c>
      <c r="C141" s="42" t="str">
        <f>IF(A141="","",VLOOKUP(A141,'STOCK CONTROL SHEET'!Details,3,FALSE))</f>
        <v>NO</v>
      </c>
      <c r="D141" s="42">
        <f t="shared" si="19"/>
        <v>25</v>
      </c>
      <c r="E141" s="42">
        <f t="shared" si="20"/>
        <v>276</v>
      </c>
      <c r="F141" s="131"/>
      <c r="G141" s="44">
        <f t="shared" si="21"/>
        <v>252006</v>
      </c>
      <c r="H141" s="43" t="str">
        <f>IF(Table2[[#This Row],[Quantity]]&gt;Table2[[#This Row],[Reorder Levels]],Table2[Item Description],"")</f>
        <v>2-feet Flourescent Tubes</v>
      </c>
      <c r="I141" s="43" t="str">
        <f>IF(Table2[[#This Row],[Quantity]]&lt;=Table2[[#This Row],[Reorder Levels]],Table2[Item Description],"")</f>
        <v/>
      </c>
    </row>
    <row r="142" spans="1:9" ht="15" thickBot="1" x14ac:dyDescent="0.4">
      <c r="A142" s="35">
        <f t="shared" si="17"/>
        <v>282040</v>
      </c>
      <c r="B142" s="42" t="str">
        <f t="shared" si="18"/>
        <v>4-feet LED Tubes</v>
      </c>
      <c r="C142" s="42" t="str">
        <f>IF(A142="","",VLOOKUP(A142,'STOCK CONTROL SHEET'!Details,3,FALSE))</f>
        <v>NO</v>
      </c>
      <c r="D142" s="42">
        <f t="shared" si="19"/>
        <v>48</v>
      </c>
      <c r="E142" s="42">
        <f t="shared" si="20"/>
        <v>392</v>
      </c>
      <c r="F142" s="131"/>
      <c r="G142" s="44">
        <f t="shared" si="21"/>
        <v>282040</v>
      </c>
      <c r="H142" s="43" t="str">
        <f>IF(Table2[[#This Row],[Quantity]]&gt;Table2[[#This Row],[Reorder Levels]],Table2[Item Description],"")</f>
        <v>4-feet LED Tubes</v>
      </c>
      <c r="I142" s="43" t="str">
        <f>IF(Table2[[#This Row],[Quantity]]&lt;=Table2[[#This Row],[Reorder Levels]],Table2[Item Description],"")</f>
        <v/>
      </c>
    </row>
    <row r="143" spans="1:9" ht="15" thickBot="1" x14ac:dyDescent="0.4">
      <c r="A143" s="35">
        <f t="shared" si="17"/>
        <v>252004</v>
      </c>
      <c r="B143" s="42" t="str">
        <f t="shared" si="18"/>
        <v>4-feet Flourescent Tubes</v>
      </c>
      <c r="C143" s="42" t="str">
        <f>IF(A143="","",VLOOKUP(A143,'STOCK CONTROL SHEET'!Details,3,FALSE))</f>
        <v>NO</v>
      </c>
      <c r="D143" s="42">
        <f t="shared" si="19"/>
        <v>48</v>
      </c>
      <c r="E143" s="42">
        <f t="shared" si="20"/>
        <v>382</v>
      </c>
      <c r="F143" s="131"/>
      <c r="G143" s="44">
        <f t="shared" si="21"/>
        <v>252004</v>
      </c>
      <c r="H143" s="43" t="str">
        <f>IF(Table2[[#This Row],[Quantity]]&gt;Table2[[#This Row],[Reorder Levels]],Table2[Item Description],"")</f>
        <v>4-feet Flourescent Tubes</v>
      </c>
      <c r="I143" s="44" t="str">
        <f>IF(Table2[[#This Row],[Quantity]]&lt;=Table2[[#This Row],[Reorder Levels]],Table2[Item Description],"")</f>
        <v/>
      </c>
    </row>
    <row r="144" spans="1:9" ht="15" thickBot="1" x14ac:dyDescent="0.4">
      <c r="A144" s="35">
        <f t="shared" si="17"/>
        <v>113</v>
      </c>
      <c r="B144" s="42" t="str">
        <f t="shared" si="18"/>
        <v>5-feet Flourescent Fittings</v>
      </c>
      <c r="C144" s="42" t="str">
        <f>IF(A144="","",VLOOKUP(A144,'STOCK CONTROL SHEET'!Details,3,FALSE))</f>
        <v>NO</v>
      </c>
      <c r="D144" s="42">
        <f t="shared" si="19"/>
        <v>0</v>
      </c>
      <c r="E144" s="42">
        <f t="shared" si="20"/>
        <v>15</v>
      </c>
      <c r="F144" s="131"/>
      <c r="G144" s="44">
        <f t="shared" si="21"/>
        <v>113</v>
      </c>
      <c r="H144" s="43" t="str">
        <f>IF(Table2[[#This Row],[Quantity]]&gt;Table2[[#This Row],[Reorder Levels]],Table2[Item Description],"")</f>
        <v>5-feet Flourescent Fittings</v>
      </c>
      <c r="I144" s="44" t="str">
        <f>IF(Table2[[#This Row],[Quantity]]&lt;=Table2[[#This Row],[Reorder Levels]],Table2[Item Description],"")</f>
        <v/>
      </c>
    </row>
    <row r="145" spans="1:9" ht="15" thickBot="1" x14ac:dyDescent="0.4">
      <c r="A145" s="35">
        <f t="shared" si="17"/>
        <v>252005</v>
      </c>
      <c r="B145" s="42" t="str">
        <f t="shared" si="18"/>
        <v>5-feet Flourescent Tubes</v>
      </c>
      <c r="C145" s="42" t="str">
        <f>IF(A145="","",VLOOKUP(A145,'STOCK CONTROL SHEET'!Details,3,FALSE))</f>
        <v>NO</v>
      </c>
      <c r="D145" s="42">
        <f t="shared" si="19"/>
        <v>6</v>
      </c>
      <c r="E145" s="42">
        <f t="shared" si="20"/>
        <v>18</v>
      </c>
      <c r="F145" s="131"/>
      <c r="G145" s="44">
        <f t="shared" si="21"/>
        <v>252005</v>
      </c>
      <c r="H145" s="43" t="str">
        <f>IF(Table2[[#This Row],[Quantity]]&gt;Table2[[#This Row],[Reorder Levels]],Table2[Item Description],"")</f>
        <v>5-feet Flourescent Tubes</v>
      </c>
      <c r="I145" s="44" t="str">
        <f>IF(Table2[[#This Row],[Quantity]]&lt;=Table2[[#This Row],[Reorder Levels]],Table2[Item Description],"")</f>
        <v/>
      </c>
    </row>
    <row r="146" spans="1:9" ht="15" thickBot="1" x14ac:dyDescent="0.4">
      <c r="A146" s="35">
        <f t="shared" si="17"/>
        <v>115</v>
      </c>
      <c r="B146" s="42" t="str">
        <f t="shared" si="18"/>
        <v>Conduit 32mm Flexible Wire</v>
      </c>
      <c r="C146" s="42" t="str">
        <f>IF(A146="","",VLOOKUP(A146,'STOCK CONTROL SHEET'!Details,3,FALSE))</f>
        <v>NO</v>
      </c>
      <c r="D146" s="42">
        <f t="shared" si="19"/>
        <v>0</v>
      </c>
      <c r="E146" s="42">
        <f t="shared" si="20"/>
        <v>4</v>
      </c>
      <c r="F146" s="131"/>
      <c r="G146" s="44">
        <f t="shared" si="21"/>
        <v>115</v>
      </c>
      <c r="H146" s="43" t="str">
        <f>IF(Table2[[#This Row],[Quantity]]&gt;Table2[[#This Row],[Reorder Levels]],Table2[Item Description],"")</f>
        <v>Conduit 32mm Flexible Wire</v>
      </c>
      <c r="I146" s="44" t="str">
        <f>IF(Table2[[#This Row],[Quantity]]&lt;=Table2[[#This Row],[Reorder Levels]],Table2[Item Description],"")</f>
        <v/>
      </c>
    </row>
    <row r="147" spans="1:9" ht="15" thickBot="1" x14ac:dyDescent="0.4">
      <c r="A147" s="35">
        <f t="shared" si="17"/>
        <v>262012</v>
      </c>
      <c r="B147" s="42" t="str">
        <f t="shared" si="18"/>
        <v>PL 9 Flourescent Tubes</v>
      </c>
      <c r="C147" s="42" t="str">
        <f>IF(A147="","",VLOOKUP(A147,'STOCK CONTROL SHEET'!Details,3,FALSE))</f>
        <v>NO</v>
      </c>
      <c r="D147" s="42">
        <f t="shared" si="19"/>
        <v>12</v>
      </c>
      <c r="E147" s="42">
        <f t="shared" si="20"/>
        <v>0</v>
      </c>
      <c r="F147" s="131"/>
      <c r="G147" s="44">
        <f t="shared" si="21"/>
        <v>262012</v>
      </c>
      <c r="H147" s="43" t="str">
        <f>IF(Table2[[#This Row],[Quantity]]&gt;Table2[[#This Row],[Reorder Levels]],Table2[Item Description],"")</f>
        <v/>
      </c>
      <c r="I147" s="44" t="str">
        <f>IF(Table2[[#This Row],[Quantity]]&lt;=Table2[[#This Row],[Reorder Levels]],Table2[Item Description],"")</f>
        <v>PL 9 Flourescent Tubes</v>
      </c>
    </row>
    <row r="148" spans="1:9" ht="15" thickBot="1" x14ac:dyDescent="0.4">
      <c r="A148" s="35">
        <f t="shared" si="17"/>
        <v>282017</v>
      </c>
      <c r="B148" s="42" t="str">
        <f t="shared" si="18"/>
        <v>Liquid Detergent</v>
      </c>
      <c r="C148" s="42" t="str">
        <f>IF(A148="","",VLOOKUP(A148,'STOCK CONTROL SHEET'!Details,3,FALSE))</f>
        <v>EA</v>
      </c>
      <c r="D148" s="42">
        <f t="shared" si="19"/>
        <v>5</v>
      </c>
      <c r="E148" s="42">
        <f t="shared" si="20"/>
        <v>3</v>
      </c>
      <c r="F148" s="131"/>
      <c r="G148" s="44">
        <f t="shared" si="21"/>
        <v>282017</v>
      </c>
      <c r="H148" s="45" t="str">
        <f>IF(Table2[[#This Row],[Quantity]]&gt;Table2[[#This Row],[Reorder Levels]],Table2[Item Description],"")</f>
        <v/>
      </c>
      <c r="I148" s="44" t="str">
        <f>IF(Table2[[#This Row],[Quantity]]&lt;=Table2[[#This Row],[Reorder Levels]],Table2[Item Description],"")</f>
        <v>Liquid Detergent</v>
      </c>
    </row>
    <row r="149" spans="1:9" ht="15" thickBot="1" x14ac:dyDescent="0.4">
      <c r="A149" s="35">
        <f t="shared" si="17"/>
        <v>282035</v>
      </c>
      <c r="B149" s="42" t="str">
        <f t="shared" si="18"/>
        <v>Pledge Spray</v>
      </c>
      <c r="C149" s="42" t="str">
        <f>IF(A149="","",VLOOKUP(A149,'STOCK CONTROL SHEET'!Details,3,FALSE))</f>
        <v>EA</v>
      </c>
      <c r="D149" s="42">
        <f t="shared" si="19"/>
        <v>12</v>
      </c>
      <c r="E149" s="42">
        <f t="shared" si="20"/>
        <v>27</v>
      </c>
      <c r="F149" s="131"/>
      <c r="G149" s="44">
        <f t="shared" si="21"/>
        <v>282035</v>
      </c>
      <c r="H149" s="45" t="str">
        <f>IF(Table2[[#This Row],[Quantity]]&gt;Table2[[#This Row],[Reorder Levels]],Table2[Item Description],"")</f>
        <v>Pledge Spray</v>
      </c>
      <c r="I149" s="44" t="str">
        <f>IF(Table2[[#This Row],[Quantity]]&lt;=Table2[[#This Row],[Reorder Levels]],Table2[Item Description],"")</f>
        <v/>
      </c>
    </row>
    <row r="150" spans="1:9" ht="15" thickBot="1" x14ac:dyDescent="0.4">
      <c r="A150" s="35">
        <f t="shared" si="17"/>
        <v>282026</v>
      </c>
      <c r="B150" s="42" t="str">
        <f t="shared" si="18"/>
        <v>Floor Dusters</v>
      </c>
      <c r="C150" s="42" t="str">
        <f>IF(A150="","",VLOOKUP(A150,'STOCK CONTROL SHEET'!Details,3,FALSE))</f>
        <v>NO</v>
      </c>
      <c r="D150" s="42">
        <f t="shared" si="19"/>
        <v>30</v>
      </c>
      <c r="E150" s="42">
        <f t="shared" si="20"/>
        <v>38</v>
      </c>
      <c r="F150" s="131"/>
      <c r="G150" s="44">
        <f t="shared" si="21"/>
        <v>282026</v>
      </c>
      <c r="H150" s="45" t="str">
        <f>IF(Table2[[#This Row],[Quantity]]&gt;Table2[[#This Row],[Reorder Levels]],Table2[Item Description],"")</f>
        <v>Floor Dusters</v>
      </c>
      <c r="I150" s="44" t="str">
        <f>IF(Table2[[#This Row],[Quantity]]&lt;=Table2[[#This Row],[Reorder Levels]],Table2[Item Description],"")</f>
        <v/>
      </c>
    </row>
    <row r="151" spans="1:9" ht="15" thickBot="1" x14ac:dyDescent="0.4">
      <c r="A151" s="35">
        <f t="shared" si="17"/>
        <v>272003</v>
      </c>
      <c r="B151" s="42" t="str">
        <f t="shared" si="18"/>
        <v>Hand Gloves</v>
      </c>
      <c r="C151" s="42" t="str">
        <f>IF(A151="","",VLOOKUP(A151,'STOCK CONTROL SHEET'!Details,3,FALSE))</f>
        <v>PCS</v>
      </c>
      <c r="D151" s="42">
        <f t="shared" si="19"/>
        <v>25</v>
      </c>
      <c r="E151" s="42">
        <f t="shared" si="20"/>
        <v>72</v>
      </c>
      <c r="F151" s="131"/>
      <c r="G151" s="44">
        <f t="shared" si="21"/>
        <v>272003</v>
      </c>
      <c r="H151" s="45" t="str">
        <f>IF(Table2[[#This Row],[Quantity]]&gt;Table2[[#This Row],[Reorder Levels]],Table2[Item Description],"")</f>
        <v>Hand Gloves</v>
      </c>
      <c r="I151" s="44" t="str">
        <f>IF(Table2[[#This Row],[Quantity]]&lt;=Table2[[#This Row],[Reorder Levels]],Table2[Item Description],"")</f>
        <v/>
      </c>
    </row>
    <row r="152" spans="1:9" ht="15" thickBot="1" x14ac:dyDescent="0.4">
      <c r="A152" s="35">
        <f t="shared" si="17"/>
        <v>282024</v>
      </c>
      <c r="B152" s="42" t="str">
        <f t="shared" si="18"/>
        <v>Harpic</v>
      </c>
      <c r="C152" s="42" t="str">
        <f>IF(A152="","",VLOOKUP(A152,'STOCK CONTROL SHEET'!Details,3,FALSE))</f>
        <v>NO</v>
      </c>
      <c r="D152" s="42">
        <f t="shared" si="19"/>
        <v>38</v>
      </c>
      <c r="E152" s="42">
        <f t="shared" si="20"/>
        <v>72</v>
      </c>
      <c r="F152" s="131"/>
      <c r="G152" s="44">
        <f t="shared" si="21"/>
        <v>282024</v>
      </c>
      <c r="H152" s="45" t="str">
        <f>IF(Table2[[#This Row],[Quantity]]&gt;Table2[[#This Row],[Reorder Levels]],Table2[Item Description],"")</f>
        <v>Harpic</v>
      </c>
      <c r="I152" s="44" t="str">
        <f>IF(Table2[[#This Row],[Quantity]]&lt;=Table2[[#This Row],[Reorder Levels]],Table2[Item Description],"")</f>
        <v/>
      </c>
    </row>
    <row r="153" spans="1:9" ht="15" thickBot="1" x14ac:dyDescent="0.4">
      <c r="A153" s="35">
        <f t="shared" si="17"/>
        <v>120</v>
      </c>
      <c r="B153" s="42" t="str">
        <f t="shared" si="18"/>
        <v>Hand Drier</v>
      </c>
      <c r="C153" s="42" t="str">
        <f>IF(A153="","",VLOOKUP(A153,'STOCK CONTROL SHEET'!Details,3,FALSE))</f>
        <v>NO</v>
      </c>
      <c r="D153" s="42">
        <f t="shared" si="19"/>
        <v>0</v>
      </c>
      <c r="E153" s="42">
        <f t="shared" si="20"/>
        <v>0</v>
      </c>
      <c r="F153" s="131"/>
      <c r="G153" s="44">
        <f t="shared" si="21"/>
        <v>120</v>
      </c>
      <c r="H153" s="45" t="str">
        <f>IF(Table2[[#This Row],[Quantity]]&gt;Table2[[#This Row],[Reorder Levels]],Table2[Item Description],"")</f>
        <v/>
      </c>
      <c r="I153" s="44" t="str">
        <f>IF(Table2[[#This Row],[Quantity]]&lt;=Table2[[#This Row],[Reorder Levels]],Table2[Item Description],"")</f>
        <v>Hand Drier</v>
      </c>
    </row>
    <row r="154" spans="1:9" ht="15" thickBot="1" x14ac:dyDescent="0.4">
      <c r="A154" s="35">
        <f t="shared" si="17"/>
        <v>252000</v>
      </c>
      <c r="B154" s="42" t="str">
        <f t="shared" si="18"/>
        <v>Mortice Locks (Union)</v>
      </c>
      <c r="C154" s="42" t="str">
        <f>IF(A154="","",VLOOKUP(A154,'STOCK CONTROL SHEET'!Details,3,FALSE))</f>
        <v>NO</v>
      </c>
      <c r="D154" s="42">
        <f t="shared" si="19"/>
        <v>10</v>
      </c>
      <c r="E154" s="42">
        <f t="shared" si="20"/>
        <v>28</v>
      </c>
      <c r="F154" s="131"/>
      <c r="G154" s="44">
        <f t="shared" si="21"/>
        <v>252000</v>
      </c>
      <c r="H154" s="45" t="str">
        <f>IF(Table2[[#This Row],[Quantity]]&gt;Table2[[#This Row],[Reorder Levels]],Table2[Item Description],"")</f>
        <v>Mortice Locks (Union)</v>
      </c>
      <c r="I154" s="44" t="str">
        <f>IF(Table2[[#This Row],[Quantity]]&lt;=Table2[[#This Row],[Reorder Levels]],Table2[Item Description],"")</f>
        <v/>
      </c>
    </row>
    <row r="155" spans="1:9" ht="15" thickBot="1" x14ac:dyDescent="0.4">
      <c r="A155" s="35">
        <f t="shared" si="17"/>
        <v>282015</v>
      </c>
      <c r="B155" s="42" t="str">
        <f t="shared" si="18"/>
        <v>Mutton Cloth</v>
      </c>
      <c r="C155" s="42" t="str">
        <f>IF(A155="","",VLOOKUP(A155,'STOCK CONTROL SHEET'!Details,3,FALSE))</f>
        <v>NO</v>
      </c>
      <c r="D155" s="42">
        <f t="shared" si="19"/>
        <v>30</v>
      </c>
      <c r="E155" s="42">
        <f t="shared" si="20"/>
        <v>38</v>
      </c>
      <c r="F155" s="131"/>
      <c r="G155" s="44">
        <f t="shared" si="21"/>
        <v>282015</v>
      </c>
      <c r="H155" s="45" t="str">
        <f>IF(Table2[[#This Row],[Quantity]]&gt;Table2[[#This Row],[Reorder Levels]],Table2[Item Description],"")</f>
        <v>Mutton Cloth</v>
      </c>
      <c r="I155" s="44" t="str">
        <f>IF(Table2[[#This Row],[Quantity]]&lt;=Table2[[#This Row],[Reorder Levels]],Table2[Item Description],"")</f>
        <v/>
      </c>
    </row>
    <row r="156" spans="1:9" ht="15" thickBot="1" x14ac:dyDescent="0.4">
      <c r="A156" s="35">
        <f t="shared" si="17"/>
        <v>282029</v>
      </c>
      <c r="B156" s="42" t="str">
        <f t="shared" si="18"/>
        <v>Mop Dusters</v>
      </c>
      <c r="C156" s="42" t="str">
        <f>IF(A156="","",VLOOKUP(A156,'STOCK CONTROL SHEET'!Details,3,FALSE))</f>
        <v>NO</v>
      </c>
      <c r="D156" s="42">
        <f t="shared" si="19"/>
        <v>25</v>
      </c>
      <c r="E156" s="42">
        <f t="shared" si="20"/>
        <v>7</v>
      </c>
      <c r="F156" s="131"/>
      <c r="G156" s="44">
        <f t="shared" si="21"/>
        <v>282029</v>
      </c>
      <c r="H156" s="45" t="str">
        <f>IF(Table2[[#This Row],[Quantity]]&gt;Table2[[#This Row],[Reorder Levels]],Table2[Item Description],"")</f>
        <v/>
      </c>
      <c r="I156" s="44" t="str">
        <f>IF(Table2[[#This Row],[Quantity]]&lt;=Table2[[#This Row],[Reorder Levels]],Table2[Item Description],"")</f>
        <v>Mop Dusters</v>
      </c>
    </row>
    <row r="157" spans="1:9" ht="15" thickBot="1" x14ac:dyDescent="0.4">
      <c r="A157" s="35">
        <f t="shared" si="17"/>
        <v>252041</v>
      </c>
      <c r="B157" s="42" t="str">
        <f t="shared" si="18"/>
        <v>S-2 Starters</v>
      </c>
      <c r="C157" s="42" t="str">
        <f>IF(A157="","",VLOOKUP(A157,'STOCK CONTROL SHEET'!Details,3,FALSE))</f>
        <v>NO</v>
      </c>
      <c r="D157" s="42">
        <f t="shared" si="19"/>
        <v>40</v>
      </c>
      <c r="E157" s="42">
        <f t="shared" si="20"/>
        <v>0</v>
      </c>
      <c r="F157" s="131"/>
      <c r="G157" s="44">
        <f t="shared" si="21"/>
        <v>252041</v>
      </c>
      <c r="H157" s="45" t="str">
        <f>IF(Table2[[#This Row],[Quantity]]&gt;Table2[[#This Row],[Reorder Levels]],Table2[Item Description],"")</f>
        <v/>
      </c>
      <c r="I157" s="44" t="str">
        <f>IF(Table2[[#This Row],[Quantity]]&lt;=Table2[[#This Row],[Reorder Levels]],Table2[Item Description],"")</f>
        <v>S-2 Starters</v>
      </c>
    </row>
    <row r="158" spans="1:9" ht="15" thickBot="1" x14ac:dyDescent="0.4">
      <c r="A158" s="35">
        <f t="shared" si="17"/>
        <v>282019</v>
      </c>
      <c r="B158" s="42" t="str">
        <f t="shared" si="18"/>
        <v>Super Brites</v>
      </c>
      <c r="C158" s="42" t="str">
        <f>IF(A158="","",VLOOKUP(A158,'STOCK CONTROL SHEET'!Details,3,FALSE))</f>
        <v>NO</v>
      </c>
      <c r="D158" s="42">
        <f t="shared" si="19"/>
        <v>38</v>
      </c>
      <c r="E158" s="42">
        <f t="shared" si="20"/>
        <v>33</v>
      </c>
      <c r="F158" s="131"/>
      <c r="G158" s="44">
        <f t="shared" si="21"/>
        <v>282019</v>
      </c>
      <c r="H158" s="45" t="str">
        <f>IF(Table2[[#This Row],[Quantity]]&gt;Table2[[#This Row],[Reorder Levels]],Table2[Item Description],"")</f>
        <v/>
      </c>
      <c r="I158" s="44" t="str">
        <f>IF(Table2[[#This Row],[Quantity]]&lt;=Table2[[#This Row],[Reorder Levels]],Table2[Item Description],"")</f>
        <v>Super Brites</v>
      </c>
    </row>
    <row r="159" spans="1:9" ht="15" thickBot="1" x14ac:dyDescent="0.4">
      <c r="A159" s="35">
        <f t="shared" si="17"/>
        <v>126</v>
      </c>
      <c r="B159" s="42" t="str">
        <f t="shared" si="18"/>
        <v>Snapper Frames</v>
      </c>
      <c r="C159" s="42" t="str">
        <f>IF(A159="","",VLOOKUP(A159,'STOCK CONTROL SHEET'!Details,3,FALSE))</f>
        <v>NO</v>
      </c>
      <c r="D159" s="42">
        <f t="shared" si="19"/>
        <v>0</v>
      </c>
      <c r="E159" s="42">
        <f t="shared" si="20"/>
        <v>22</v>
      </c>
      <c r="F159" s="131"/>
      <c r="G159" s="44">
        <f t="shared" si="21"/>
        <v>126</v>
      </c>
      <c r="H159" s="45" t="str">
        <f>IF(Table2[[#This Row],[Quantity]]&gt;Table2[[#This Row],[Reorder Levels]],Table2[Item Description],"")</f>
        <v>Snapper Frames</v>
      </c>
      <c r="I159" s="44" t="str">
        <f>IF(Table2[[#This Row],[Quantity]]&lt;=Table2[[#This Row],[Reorder Levels]],Table2[Item Description],"")</f>
        <v/>
      </c>
    </row>
    <row r="160" spans="1:9" ht="15" thickBot="1" x14ac:dyDescent="0.4">
      <c r="A160" s="35">
        <f t="shared" si="17"/>
        <v>282020</v>
      </c>
      <c r="B160" s="42" t="str">
        <f t="shared" si="18"/>
        <v>Window Cleaner</v>
      </c>
      <c r="C160" s="42" t="str">
        <f>IF(A160="","",VLOOKUP(A160,'STOCK CONTROL SHEET'!Details,3,FALSE))</f>
        <v>NO</v>
      </c>
      <c r="D160" s="42">
        <f t="shared" si="19"/>
        <v>38</v>
      </c>
      <c r="E160" s="42">
        <f t="shared" si="20"/>
        <v>55</v>
      </c>
      <c r="F160" s="131"/>
      <c r="G160" s="44">
        <f t="shared" si="21"/>
        <v>282020</v>
      </c>
      <c r="H160" s="45" t="str">
        <f>IF(Table2[[#This Row],[Quantity]]&gt;Table2[[#This Row],[Reorder Levels]],Table2[Item Description],"")</f>
        <v>Window Cleaner</v>
      </c>
      <c r="I160" s="44" t="str">
        <f>IF(Table2[[#This Row],[Quantity]]&lt;=Table2[[#This Row],[Reorder Levels]],Table2[Item Description],"")</f>
        <v/>
      </c>
    </row>
    <row r="161" spans="1:9" ht="15" thickBot="1" x14ac:dyDescent="0.4">
      <c r="A161" s="35">
        <f t="shared" si="17"/>
        <v>252009</v>
      </c>
      <c r="B161" s="42" t="str">
        <f t="shared" si="18"/>
        <v>4-80 Watts Starters</v>
      </c>
      <c r="C161" s="42" t="str">
        <f>IF(A161="","",VLOOKUP(A161,'STOCK CONTROL SHEET'!Details,3,FALSE))</f>
        <v>NO</v>
      </c>
      <c r="D161" s="42">
        <f t="shared" si="19"/>
        <v>150</v>
      </c>
      <c r="E161" s="42">
        <f t="shared" si="20"/>
        <v>226</v>
      </c>
      <c r="F161" s="131"/>
      <c r="G161" s="44">
        <f t="shared" si="21"/>
        <v>252009</v>
      </c>
      <c r="H161" s="45" t="str">
        <f>IF(Table2[[#This Row],[Quantity]]&gt;Table2[[#This Row],[Reorder Levels]],Table2[Item Description],"")</f>
        <v>4-80 Watts Starters</v>
      </c>
      <c r="I161" s="44" t="str">
        <f>IF(Table2[[#This Row],[Quantity]]&lt;=Table2[[#This Row],[Reorder Levels]],Table2[Item Description],"")</f>
        <v/>
      </c>
    </row>
    <row r="162" spans="1:9" ht="15" thickBot="1" x14ac:dyDescent="0.4">
      <c r="A162" s="35">
        <f t="shared" si="17"/>
        <v>252008</v>
      </c>
      <c r="B162" s="42" t="str">
        <f t="shared" si="18"/>
        <v>PL-36 Tubes</v>
      </c>
      <c r="C162" s="42" t="str">
        <f>IF(A162="","",VLOOKUP(A162,'STOCK CONTROL SHEET'!Details,3,FALSE))</f>
        <v>NO</v>
      </c>
      <c r="D162" s="42">
        <f t="shared" si="19"/>
        <v>70</v>
      </c>
      <c r="E162" s="42">
        <f t="shared" si="20"/>
        <v>41</v>
      </c>
      <c r="F162" s="131"/>
      <c r="G162" s="44">
        <f t="shared" si="21"/>
        <v>252008</v>
      </c>
      <c r="H162" s="45" t="str">
        <f>IF(Table2[[#This Row],[Quantity]]&gt;Table2[[#This Row],[Reorder Levels]],Table2[Item Description],"")</f>
        <v/>
      </c>
      <c r="I162" s="44" t="str">
        <f>IF(Table2[[#This Row],[Quantity]]&lt;=Table2[[#This Row],[Reorder Levels]],Table2[Item Description],"")</f>
        <v>PL-36 Tubes</v>
      </c>
    </row>
    <row r="163" spans="1:9" ht="15" thickBot="1" x14ac:dyDescent="0.4">
      <c r="A163" s="35">
        <f t="shared" si="17"/>
        <v>130</v>
      </c>
      <c r="B163" s="42" t="str">
        <f t="shared" si="18"/>
        <v>PVC Trunking</v>
      </c>
      <c r="C163" s="42" t="str">
        <f>IF(A163="","",VLOOKUP(A163,'STOCK CONTROL SHEET'!Details,3,FALSE))</f>
        <v>NO</v>
      </c>
      <c r="D163" s="42">
        <f t="shared" si="19"/>
        <v>0</v>
      </c>
      <c r="E163" s="42">
        <f t="shared" si="20"/>
        <v>2</v>
      </c>
      <c r="F163" s="131"/>
      <c r="G163" s="44">
        <f t="shared" si="21"/>
        <v>130</v>
      </c>
      <c r="H163" s="45" t="str">
        <f>IF(Table2[[#This Row],[Quantity]]&gt;Table2[[#This Row],[Reorder Levels]],Table2[Item Description],"")</f>
        <v>PVC Trunking</v>
      </c>
      <c r="I163" s="44" t="str">
        <f>IF(Table2[[#This Row],[Quantity]]&lt;=Table2[[#This Row],[Reorder Levels]],Table2[Item Description],"")</f>
        <v/>
      </c>
    </row>
    <row r="164" spans="1:9" ht="15" thickBot="1" x14ac:dyDescent="0.4">
      <c r="A164" s="26">
        <f t="shared" si="17"/>
        <v>131</v>
      </c>
      <c r="B164" s="42" t="str">
        <f t="shared" si="18"/>
        <v>Twin Sockets</v>
      </c>
      <c r="C164" s="42" t="str">
        <f>IF(A164="","",VLOOKUP(A164,'STOCK CONTROL SHEET'!Details,3,FALSE))</f>
        <v>NO</v>
      </c>
      <c r="D164" s="42">
        <f t="shared" si="19"/>
        <v>0</v>
      </c>
      <c r="E164" s="42">
        <f t="shared" si="20"/>
        <v>0</v>
      </c>
      <c r="F164" s="131"/>
      <c r="G164" s="44">
        <f t="shared" si="21"/>
        <v>131</v>
      </c>
      <c r="H164" s="45" t="str">
        <f>IF(Table2[[#This Row],[Quantity]]&gt;Table2[[#This Row],[Reorder Levels]],Table2[Item Description],"")</f>
        <v/>
      </c>
      <c r="I164" s="44" t="str">
        <f>IF(Table2[[#This Row],[Quantity]]&lt;=Table2[[#This Row],[Reorder Levels]],Table2[Item Description],"")</f>
        <v>Twin Sockets</v>
      </c>
    </row>
    <row r="165" spans="1:9" ht="15" thickBot="1" x14ac:dyDescent="0.4">
      <c r="A165" s="26">
        <f t="shared" si="17"/>
        <v>132</v>
      </c>
      <c r="B165" s="42" t="str">
        <f t="shared" si="18"/>
        <v>Slim Switch 10 Amps</v>
      </c>
      <c r="C165" s="42" t="str">
        <f>IF(A165="","",VLOOKUP(A165,'STOCK CONTROL SHEET'!Details,3,FALSE))</f>
        <v>NO</v>
      </c>
      <c r="D165" s="42">
        <f t="shared" si="19"/>
        <v>0</v>
      </c>
      <c r="E165" s="42">
        <f t="shared" si="20"/>
        <v>8</v>
      </c>
      <c r="F165" s="131"/>
      <c r="G165" s="44">
        <f t="shared" si="21"/>
        <v>132</v>
      </c>
      <c r="H165" s="45" t="str">
        <f>IF(Table2[[#This Row],[Quantity]]&gt;Table2[[#This Row],[Reorder Levels]],Table2[Item Description],"")</f>
        <v>Slim Switch 10 Amps</v>
      </c>
      <c r="I165" s="44" t="str">
        <f>IF(Table2[[#This Row],[Quantity]]&lt;=Table2[[#This Row],[Reorder Levels]],Table2[Item Description],"")</f>
        <v/>
      </c>
    </row>
    <row r="166" spans="1:9" ht="15" thickBot="1" x14ac:dyDescent="0.4">
      <c r="A166" s="26">
        <f t="shared" si="17"/>
        <v>252022</v>
      </c>
      <c r="B166" s="42" t="str">
        <f t="shared" si="18"/>
        <v>40 Watts Chokes</v>
      </c>
      <c r="C166" s="42" t="str">
        <f>IF(A166="","",VLOOKUP(A166,'STOCK CONTROL SHEET'!Details,3,FALSE))</f>
        <v>NO</v>
      </c>
      <c r="D166" s="42">
        <f t="shared" si="19"/>
        <v>15</v>
      </c>
      <c r="E166" s="42">
        <f t="shared" si="20"/>
        <v>0</v>
      </c>
      <c r="F166" s="131"/>
      <c r="G166" s="44">
        <f t="shared" si="21"/>
        <v>252022</v>
      </c>
      <c r="H166" s="45" t="str">
        <f>IF(Table2[[#This Row],[Quantity]]&gt;Table2[[#This Row],[Reorder Levels]],Table2[Item Description],"")</f>
        <v/>
      </c>
      <c r="I166" s="44" t="str">
        <f>IF(Table2[[#This Row],[Quantity]]&lt;=Table2[[#This Row],[Reorder Levels]],Table2[Item Description],"")</f>
        <v>40 Watts Chokes</v>
      </c>
    </row>
    <row r="167" spans="1:9" ht="15" thickBot="1" x14ac:dyDescent="0.4">
      <c r="A167" s="26">
        <f t="shared" si="17"/>
        <v>134</v>
      </c>
      <c r="B167" s="42" t="str">
        <f t="shared" si="18"/>
        <v>65 Watts Chokes</v>
      </c>
      <c r="C167" s="42" t="str">
        <f>IF(A167="","",VLOOKUP(A167,'STOCK CONTROL SHEET'!Details,3,FALSE))</f>
        <v>NO</v>
      </c>
      <c r="D167" s="42">
        <f t="shared" si="19"/>
        <v>0</v>
      </c>
      <c r="E167" s="42">
        <f t="shared" si="20"/>
        <v>2</v>
      </c>
      <c r="F167" s="131"/>
      <c r="G167" s="44">
        <f t="shared" si="21"/>
        <v>134</v>
      </c>
      <c r="H167" s="45" t="str">
        <f>IF(Table2[[#This Row],[Quantity]]&gt;Table2[[#This Row],[Reorder Levels]],Table2[Item Description],"")</f>
        <v>65 Watts Chokes</v>
      </c>
      <c r="I167" s="44" t="str">
        <f>IF(Table2[[#This Row],[Quantity]]&lt;=Table2[[#This Row],[Reorder Levels]],Table2[Item Description],"")</f>
        <v/>
      </c>
    </row>
    <row r="168" spans="1:9" ht="15" thickBot="1" x14ac:dyDescent="0.4">
      <c r="A168" s="26">
        <f t="shared" si="17"/>
        <v>252019</v>
      </c>
      <c r="B168" s="42" t="str">
        <f t="shared" si="18"/>
        <v>20 Watts Chokes</v>
      </c>
      <c r="C168" s="42" t="str">
        <f>IF(A168="","",VLOOKUP(A168,'STOCK CONTROL SHEET'!Details,3,FALSE))</f>
        <v>NO</v>
      </c>
      <c r="D168" s="42">
        <f t="shared" si="19"/>
        <v>0</v>
      </c>
      <c r="E168" s="42">
        <f t="shared" si="20"/>
        <v>16</v>
      </c>
      <c r="F168" s="131"/>
      <c r="G168" s="44">
        <f t="shared" si="21"/>
        <v>252019</v>
      </c>
      <c r="H168" s="45" t="str">
        <f>IF(Table2[[#This Row],[Quantity]]&gt;Table2[[#This Row],[Reorder Levels]],Table2[Item Description],"")</f>
        <v>20 Watts Chokes</v>
      </c>
      <c r="I168" s="44" t="str">
        <f>IF(Table2[[#This Row],[Quantity]]&lt;=Table2[[#This Row],[Reorder Levels]],Table2[Item Description],"")</f>
        <v/>
      </c>
    </row>
    <row r="169" spans="1:9" ht="15" thickBot="1" x14ac:dyDescent="0.4">
      <c r="A169" s="26">
        <f t="shared" si="17"/>
        <v>136</v>
      </c>
      <c r="B169" s="42" t="str">
        <f t="shared" si="18"/>
        <v>2.5 mm PVC Single Core Cable</v>
      </c>
      <c r="C169" s="42" t="str">
        <f>IF(A169="","",VLOOKUP(A169,'STOCK CONTROL SHEET'!Details,3,FALSE))</f>
        <v>NO</v>
      </c>
      <c r="D169" s="42">
        <f t="shared" si="19"/>
        <v>0</v>
      </c>
      <c r="E169" s="42">
        <f t="shared" si="20"/>
        <v>0</v>
      </c>
      <c r="F169" s="131"/>
      <c r="G169" s="44">
        <f t="shared" si="21"/>
        <v>136</v>
      </c>
      <c r="H169" s="45" t="str">
        <f>IF(Table2[[#This Row],[Quantity]]&gt;Table2[[#This Row],[Reorder Levels]],Table2[Item Description],"")</f>
        <v/>
      </c>
      <c r="I169" s="44" t="str">
        <f>IF(Table2[[#This Row],[Quantity]]&lt;=Table2[[#This Row],[Reorder Levels]],Table2[Item Description],"")</f>
        <v>2.5 mm PVC Single Core Cable</v>
      </c>
    </row>
    <row r="170" spans="1:9" ht="15" thickBot="1" x14ac:dyDescent="0.4">
      <c r="A170" s="26">
        <f t="shared" si="17"/>
        <v>282021</v>
      </c>
      <c r="B170" s="42" t="str">
        <f t="shared" si="18"/>
        <v>Vim Powder</v>
      </c>
      <c r="C170" s="42" t="str">
        <f>IF(A170="","",VLOOKUP(A170,'STOCK CONTROL SHEET'!Details,3,FALSE))</f>
        <v>NO</v>
      </c>
      <c r="D170" s="42">
        <f t="shared" si="19"/>
        <v>25</v>
      </c>
      <c r="E170" s="42">
        <f t="shared" si="20"/>
        <v>34</v>
      </c>
      <c r="F170" s="131"/>
      <c r="G170" s="44">
        <f t="shared" si="21"/>
        <v>282021</v>
      </c>
      <c r="H170" s="45" t="str">
        <f>IF(Table2[[#This Row],[Quantity]]&gt;Table2[[#This Row],[Reorder Levels]],Table2[Item Description],"")</f>
        <v>Vim Powder</v>
      </c>
      <c r="I170" s="44" t="str">
        <f>IF(Table2[[#This Row],[Quantity]]&lt;=Table2[[#This Row],[Reorder Levels]],Table2[Item Description],"")</f>
        <v/>
      </c>
    </row>
    <row r="171" spans="1:9" ht="15" thickBot="1" x14ac:dyDescent="0.4">
      <c r="A171" s="26">
        <f t="shared" si="17"/>
        <v>282025</v>
      </c>
      <c r="B171" s="42" t="str">
        <f t="shared" si="18"/>
        <v>Toilet Brushes</v>
      </c>
      <c r="C171" s="42" t="str">
        <f>IF(A171="","",VLOOKUP(A171,'STOCK CONTROL SHEET'!Details,3,FALSE))</f>
        <v>NO</v>
      </c>
      <c r="D171" s="42">
        <f t="shared" si="19"/>
        <v>0</v>
      </c>
      <c r="E171" s="42">
        <f t="shared" si="20"/>
        <v>6</v>
      </c>
      <c r="F171" s="131"/>
      <c r="G171" s="44">
        <f t="shared" si="21"/>
        <v>282025</v>
      </c>
      <c r="H171" s="45" t="str">
        <f>IF(Table2[[#This Row],[Quantity]]&gt;Table2[[#This Row],[Reorder Levels]],Table2[Item Description],"")</f>
        <v>Toilet Brushes</v>
      </c>
      <c r="I171" s="44" t="str">
        <f>IF(Table2[[#This Row],[Quantity]]&lt;=Table2[[#This Row],[Reorder Levels]],Table2[Item Description],"")</f>
        <v/>
      </c>
    </row>
    <row r="172" spans="1:9" ht="15" thickBot="1" x14ac:dyDescent="0.4">
      <c r="A172" s="26">
        <f t="shared" si="17"/>
        <v>252017</v>
      </c>
      <c r="B172" s="42" t="str">
        <f t="shared" si="18"/>
        <v>Toilet Seat Covers</v>
      </c>
      <c r="C172" s="42" t="str">
        <f>IF(A172="","",VLOOKUP(A172,'STOCK CONTROL SHEET'!Details,3,FALSE))</f>
        <v>NO</v>
      </c>
      <c r="D172" s="42">
        <f t="shared" si="19"/>
        <v>0</v>
      </c>
      <c r="E172" s="42">
        <f t="shared" si="20"/>
        <v>19</v>
      </c>
      <c r="F172" s="132"/>
      <c r="G172" s="44">
        <f t="shared" si="21"/>
        <v>252017</v>
      </c>
      <c r="H172" s="45" t="str">
        <f>IF(Table2[[#This Row],[Quantity]]&gt;Table2[[#This Row],[Reorder Levels]],Table2[Item Description],"")</f>
        <v>Toilet Seat Covers</v>
      </c>
      <c r="I172" s="44" t="str">
        <f>IF(Table2[[#This Row],[Quantity]]&lt;=Table2[[#This Row],[Reorder Levels]],Table2[Item Description],"")</f>
        <v/>
      </c>
    </row>
  </sheetData>
  <sheetProtection autoFilter="0"/>
  <mergeCells count="7">
    <mergeCell ref="F125:F172"/>
    <mergeCell ref="A1:I1"/>
    <mergeCell ref="A2:E2"/>
    <mergeCell ref="G2:I2"/>
    <mergeCell ref="F4:F38"/>
    <mergeCell ref="F2:F3"/>
    <mergeCell ref="F39:F124"/>
  </mergeCells>
  <pageMargins left="0.7" right="0.7" top="0.75" bottom="0.75" header="0.3" footer="0.3"/>
  <pageSetup paperSize="9" scale="83" fitToHeight="0" orientation="landscape" r:id="rId1"/>
  <ignoredErrors>
    <ignoredError sqref="D39:E39 G39:G172 B39:B40 D40:E45 B46:B49 D46:E52 B53:B54 D53:E55 B56:B60 D56:E61 B62:B71 D62:E72 B73 D73:E74 B75:B81 D75:E82 B83:B93 D83:E94 B95:B107 D95:E108 B109:B113 D109:E115 B116:B172 D116:E172" calculatedColumn="1"/>
    <ignoredError sqref="C41:C45 H41:H45 C50:C52 H50:H52 C55 H55 C61 H61 C72 H72 C74 H74 C82 H82 C94 H94 C108 H108 C114:C115 H114:H115" evalError="1"/>
    <ignoredError sqref="B41:B45 B50:B52 B55 B61 B72 B74 B82 B94 B108 B114:B115" evalError="1" calculatedColumn="1"/>
    <ignoredError sqref="A164:A172" unlockedFormula="1"/>
  </ignoredErrors>
  <tableParts count="2">
    <tablePart r:id="rId2"/>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8">
    <tabColor rgb="FFC00000"/>
  </sheetPr>
  <dimension ref="A1:L151"/>
  <sheetViews>
    <sheetView tabSelected="1" zoomScaleNormal="100" workbookViewId="0">
      <selection activeCell="A103" sqref="A103"/>
    </sheetView>
  </sheetViews>
  <sheetFormatPr defaultRowHeight="14.5" x14ac:dyDescent="0.35"/>
  <cols>
    <col min="1" max="1" width="13.81640625" bestFit="1" customWidth="1"/>
    <col min="2" max="2" width="34.26953125" bestFit="1" customWidth="1"/>
    <col min="3" max="3" width="14.26953125" customWidth="1"/>
    <col min="4" max="4" width="17.1796875" customWidth="1"/>
    <col min="5" max="5" width="17.1796875" bestFit="1" customWidth="1"/>
    <col min="6" max="6" width="12.453125" hidden="1" customWidth="1"/>
    <col min="7" max="7" width="12.54296875" bestFit="1" customWidth="1"/>
    <col min="8" max="8" width="20.26953125" customWidth="1"/>
    <col min="9" max="9" width="17.54296875" customWidth="1"/>
    <col min="10" max="10" width="12.36328125" customWidth="1"/>
    <col min="11" max="11" width="23.1796875" customWidth="1"/>
    <col min="12" max="12" width="20.81640625" customWidth="1"/>
  </cols>
  <sheetData>
    <row r="1" spans="1:12" ht="18.5" x14ac:dyDescent="0.35">
      <c r="A1" s="148" t="s">
        <v>192</v>
      </c>
      <c r="B1" s="148"/>
      <c r="C1" s="148"/>
      <c r="D1" s="148"/>
      <c r="E1" s="148"/>
      <c r="G1" s="147" t="s">
        <v>199</v>
      </c>
      <c r="H1" s="147"/>
      <c r="I1" s="147"/>
    </row>
    <row r="2" spans="1:12" ht="15.5" x14ac:dyDescent="0.35">
      <c r="A2" s="149" t="s">
        <v>189</v>
      </c>
      <c r="B2" s="149"/>
      <c r="C2" s="149"/>
      <c r="D2" s="149"/>
      <c r="E2" s="149"/>
      <c r="G2" s="7" t="s">
        <v>193</v>
      </c>
      <c r="H2" s="7" t="s">
        <v>194</v>
      </c>
      <c r="I2" s="7" t="s">
        <v>195</v>
      </c>
      <c r="J2" s="13" t="s">
        <v>177</v>
      </c>
      <c r="K2" t="s">
        <v>200</v>
      </c>
      <c r="L2" t="s">
        <v>201</v>
      </c>
    </row>
    <row r="3" spans="1:12" x14ac:dyDescent="0.35">
      <c r="A3" s="17" t="s">
        <v>22</v>
      </c>
      <c r="B3" s="18" t="s">
        <v>0</v>
      </c>
      <c r="C3" s="18" t="s">
        <v>1</v>
      </c>
      <c r="D3" s="18" t="s">
        <v>187</v>
      </c>
      <c r="E3" s="16" t="s">
        <v>188</v>
      </c>
      <c r="G3" s="7" t="s">
        <v>196</v>
      </c>
      <c r="H3" s="7" t="e">
        <f>SUM(Table8[Quantity Deficit])</f>
        <v>#VALUE!</v>
      </c>
      <c r="I3" s="7" t="e">
        <f>SUM(Table8[Quantity Surplus])</f>
        <v>#VALUE!</v>
      </c>
      <c r="J3" s="14" t="s">
        <v>178</v>
      </c>
      <c r="K3" s="15" t="e">
        <v>#DIV/0!</v>
      </c>
      <c r="L3" s="15" t="e">
        <v>#DIV/0!</v>
      </c>
    </row>
    <row r="4" spans="1:12" x14ac:dyDescent="0.35">
      <c r="A4" s="26">
        <f>SFMaterialNo</f>
        <v>282014</v>
      </c>
      <c r="B4" s="46" t="str">
        <f>IF(A4="","",VLOOKUP(A4,'STOCK CONTROL SHEET'!Details,2,FALSE))</f>
        <v>Tissue Papers</v>
      </c>
      <c r="C4" s="46" t="str">
        <f>IF(A4="","",VLOOKUP(A4,'STOCK CONTROL SHEET'!Details,3,FALSE))</f>
        <v>ROLL</v>
      </c>
      <c r="D4" s="46" t="str">
        <f>INDEX(SF.STOREPRIMARY[],MATCH('STORE PERFORMANCE'!A4,SFMaterialNo,0),9)</f>
        <v/>
      </c>
      <c r="E4" s="47" t="str">
        <f>INDEX(SF.STOREPRIMARY[],MATCH('STORE PERFORMANCE'!A4,SF.STOREPRIMARY[Material No],0),10)</f>
        <v/>
      </c>
      <c r="G4" s="7" t="s">
        <v>197</v>
      </c>
      <c r="H4" s="7">
        <f>SUM(Table9[Quantity Deficit])</f>
        <v>36</v>
      </c>
      <c r="I4" s="7">
        <f>SUM(Table9[Quantity Surplus])</f>
        <v>342102</v>
      </c>
    </row>
    <row r="5" spans="1:12" x14ac:dyDescent="0.35">
      <c r="A5" s="26">
        <f>SFMaterialNo</f>
        <v>100126</v>
      </c>
      <c r="B5" s="46" t="str">
        <f>IF(A5="","",VLOOKUP(A5,'STOCK CONTROL SHEET'!Details,2,FALSE))</f>
        <v>Administration Folders</v>
      </c>
      <c r="C5" s="46" t="str">
        <f>IF(A5="","",VLOOKUP(A5,'STOCK CONTROL SHEET'!Details,3,FALSE))</f>
        <v>PCS</v>
      </c>
      <c r="D5" s="46">
        <f>INDEX(SF.STOREPRIMARY[],MATCH('STORE PERFORMANCE'!A5,SFMaterialNo,0),9)</f>
        <v>375</v>
      </c>
      <c r="E5" s="47" t="str">
        <f>INDEX(SF.STOREPRIMARY[],MATCH('STORE PERFORMANCE'!A5,SF.STOREPRIMARY[Material No],0),10)</f>
        <v/>
      </c>
      <c r="G5" s="7" t="s">
        <v>198</v>
      </c>
      <c r="H5" s="7" t="e">
        <f>SUM(Table10[Quantity Deficit])</f>
        <v>#VALUE!</v>
      </c>
      <c r="I5" s="7" t="e">
        <f>SUM(Table10[Quantity Surplus])</f>
        <v>#VALUE!</v>
      </c>
    </row>
    <row r="6" spans="1:12" x14ac:dyDescent="0.35">
      <c r="A6" s="26">
        <f>SFMaterialNo</f>
        <v>100128</v>
      </c>
      <c r="B6" s="46" t="str">
        <f>IF(A6="","",VLOOKUP(A6,'STOCK CONTROL SHEET'!Details,2,FALSE))</f>
        <v>Age Benefit Folders</v>
      </c>
      <c r="C6" s="46" t="str">
        <f>IF(A6="","",VLOOKUP(A6,'STOCK CONTROL SHEET'!Details,3,FALSE))</f>
        <v>PCS</v>
      </c>
      <c r="D6" s="46" t="str">
        <f>INDEX(SF.STOREPRIMARY[],MATCH('STORE PERFORMANCE'!A6,SFMaterialNo,0),9)</f>
        <v/>
      </c>
      <c r="E6" s="47">
        <f>INDEX(SF.STOREPRIMARY[],MATCH('STORE PERFORMANCE'!A6,SF.STOREPRIMARY[Material No],0),10)</f>
        <v>76</v>
      </c>
    </row>
    <row r="7" spans="1:12" x14ac:dyDescent="0.35">
      <c r="A7" s="26">
        <f>SFMaterialNo</f>
        <v>100216</v>
      </c>
      <c r="B7" s="46" t="str">
        <f>IF(A7="","",VLOOKUP(A7,'STOCK CONTROL SHEET'!Details,2,FALSE))</f>
        <v>App. For Personal Exemption Forms</v>
      </c>
      <c r="C7" s="46" t="str">
        <f>IF(A7="","",VLOOKUP(A7,'STOCK CONTROL SHEET'!Details,3,FALSE))</f>
        <v>PCS</v>
      </c>
      <c r="D7" s="46" t="str">
        <f>INDEX(SF.STOREPRIMARY[],MATCH('STORE PERFORMANCE'!A7,SFMaterialNo,0),9)</f>
        <v/>
      </c>
      <c r="E7" s="47" t="str">
        <f>INDEX(SF.STOREPRIMARY[],MATCH('STORE PERFORMANCE'!A7,SF.STOREPRIMARY[Material No],0),10)</f>
        <v/>
      </c>
      <c r="G7" s="19" t="s">
        <v>202</v>
      </c>
      <c r="H7" s="19" t="e">
        <f>SUM(Table5[Value of Deficiency])</f>
        <v>#VALUE!</v>
      </c>
      <c r="I7" s="19" t="e">
        <f>SUM(Table5[Value of Surplus])</f>
        <v>#VALUE!</v>
      </c>
    </row>
    <row r="8" spans="1:12" x14ac:dyDescent="0.35">
      <c r="A8" s="26">
        <f>SFMaterialNo</f>
        <v>100139</v>
      </c>
      <c r="B8" s="46" t="str">
        <f>IF(A8="","",VLOOKUP(A8,'STOCK CONTROL SHEET'!Details,2,FALSE))</f>
        <v>App. For Employer SF/001</v>
      </c>
      <c r="C8" s="46" t="str">
        <f>IF(A8="","",VLOOKUP(A8,'STOCK CONTROL SHEET'!Details,3,FALSE))</f>
        <v>PCS</v>
      </c>
      <c r="D8" s="46">
        <f>INDEX(SF.STOREPRIMARY[],MATCH('STORE PERFORMANCE'!A8,SFMaterialNo,0),9)</f>
        <v>2750</v>
      </c>
      <c r="E8" s="47" t="str">
        <f>INDEX(SF.STOREPRIMARY[],MATCH('STORE PERFORMANCE'!A8,SF.STOREPRIMARY[Material No],0),10)</f>
        <v/>
      </c>
    </row>
    <row r="9" spans="1:12" x14ac:dyDescent="0.35">
      <c r="A9" s="26">
        <f>SFMaterialNo</f>
        <v>100218</v>
      </c>
      <c r="B9" s="46" t="str">
        <f>IF(A9="","",VLOOKUP(A9,'STOCK CONTROL SHEET'!Details,2,FALSE))</f>
        <v>Ben. App. Forms SF/001</v>
      </c>
      <c r="C9" s="46" t="str">
        <f>IF(A9="","",VLOOKUP(A9,'STOCK CONTROL SHEET'!Details,3,FALSE))</f>
        <v>PCS</v>
      </c>
      <c r="D9" s="46">
        <f>INDEX(SF.STOREPRIMARY[],MATCH('STORE PERFORMANCE'!A9,SFMaterialNo,0),9)</f>
        <v>3800</v>
      </c>
      <c r="E9" s="47" t="str">
        <f>INDEX(SF.STOREPRIMARY[],MATCH('STORE PERFORMANCE'!A9,SF.STOREPRIMARY[Material No],0),10)</f>
        <v/>
      </c>
    </row>
    <row r="10" spans="1:12" x14ac:dyDescent="0.35">
      <c r="A10" s="26">
        <f>SFMaterialNo</f>
        <v>100220</v>
      </c>
      <c r="B10" s="46" t="str">
        <f>IF(A10="","",VLOOKUP(A10,'STOCK CONTROL SHEET'!Details,2,FALSE))</f>
        <v>Payment of Benefit Forms/004</v>
      </c>
      <c r="C10" s="46" t="str">
        <f>IF(A10="","",VLOOKUP(A10,'STOCK CONTROL SHEET'!Details,3,FALSE))</f>
        <v>PCS</v>
      </c>
      <c r="D10" s="46" t="e">
        <f>INDEX(SF.STOREPRIMARY[],MATCH('STORE PERFORMANCE'!A10,SFMaterialNo,0),9)</f>
        <v>#VALUE!</v>
      </c>
      <c r="E10" s="47" t="e">
        <f>INDEX(SF.STOREPRIMARY[],MATCH('STORE PERFORMANCE'!A10,SF.STOREPRIMARY[Material No],0),10)</f>
        <v>#VALUE!</v>
      </c>
    </row>
    <row r="11" spans="1:12" x14ac:dyDescent="0.35">
      <c r="A11" s="26">
        <f>SFMaterialNo</f>
        <v>100210</v>
      </c>
      <c r="B11" s="46" t="str">
        <f>IF(A11="","",VLOOKUP(A11,'STOCK CONTROL SHEET'!Details,2,FALSE))</f>
        <v>Claim Confirmation SF/D/005</v>
      </c>
      <c r="C11" s="46" t="str">
        <f>IF(A11="","",VLOOKUP(A11,'STOCK CONTROL SHEET'!Details,3,FALSE))</f>
        <v>PCS</v>
      </c>
      <c r="D11" s="46" t="str">
        <f>INDEX(SF.STOREPRIMARY[],MATCH('STORE PERFORMANCE'!A11,SFMaterialNo,0),9)</f>
        <v/>
      </c>
      <c r="E11" s="47" t="str">
        <f>INDEX(SF.STOREPRIMARY[],MATCH('STORE PERFORMANCE'!A11,SF.STOREPRIMARY[Material No],0),10)</f>
        <v/>
      </c>
    </row>
    <row r="12" spans="1:12" x14ac:dyDescent="0.35">
      <c r="A12" s="26">
        <f>SFMaterialNo</f>
        <v>100162</v>
      </c>
      <c r="B12" s="46" t="str">
        <f>IF(A12="","",VLOOKUP(A12,'STOCK CONTROL SHEET'!Details,2,FALSE))</f>
        <v>Confidential Folders Pink</v>
      </c>
      <c r="C12" s="46" t="str">
        <f>IF(A12="","",VLOOKUP(A12,'STOCK CONTROL SHEET'!Details,3,FALSE))</f>
        <v>PCS</v>
      </c>
      <c r="D12" s="46">
        <f>INDEX(SF.STOREPRIMARY[],MATCH('STORE PERFORMANCE'!A12,SFMaterialNo,0),9)</f>
        <v>165</v>
      </c>
      <c r="E12" s="47" t="str">
        <f>INDEX(SF.STOREPRIMARY[],MATCH('STORE PERFORMANCE'!A12,SF.STOREPRIMARY[Material No],0),10)</f>
        <v/>
      </c>
    </row>
    <row r="13" spans="1:12" x14ac:dyDescent="0.35">
      <c r="A13" s="26">
        <f>SFMaterialNo</f>
        <v>100144</v>
      </c>
      <c r="B13" s="46" t="str">
        <f>IF(A13="","",VLOOKUP(A13,'STOCK CONTROL SHEET'!Details,2,FALSE))</f>
        <v>Dummy B Certificate</v>
      </c>
      <c r="C13" s="46" t="str">
        <f>IF(A13="","",VLOOKUP(A13,'STOCK CONTROL SHEET'!Details,3,FALSE))</f>
        <v>PCS</v>
      </c>
      <c r="D13" s="46" t="str">
        <f>INDEX(SF.STOREPRIMARY[],MATCH('STORE PERFORMANCE'!A13,SFMaterialNo,0),9)</f>
        <v/>
      </c>
      <c r="E13" s="47" t="str">
        <f>INDEX(SF.STOREPRIMARY[],MATCH('STORE PERFORMANCE'!A13,SF.STOREPRIMARY[Material No],0),10)</f>
        <v/>
      </c>
    </row>
    <row r="14" spans="1:12" x14ac:dyDescent="0.35">
      <c r="A14" s="26">
        <f>SFMaterialNo</f>
        <v>100125</v>
      </c>
      <c r="B14" s="46" t="str">
        <f>IF(A14="","",VLOOKUP(A14,'STOCK CONTROL SHEET'!Details,2,FALSE))</f>
        <v>Empty Cartons</v>
      </c>
      <c r="C14" s="46" t="str">
        <f>IF(A14="","",VLOOKUP(A14,'STOCK CONTROL SHEET'!Details,3,FALSE))</f>
        <v>NO</v>
      </c>
      <c r="D14" s="46">
        <f>INDEX(SF.STOREPRIMARY[],MATCH('STORE PERFORMANCE'!A14,SFMaterialNo,0),9)</f>
        <v>130</v>
      </c>
      <c r="E14" s="47" t="str">
        <f>INDEX(SF.STOREPRIMARY[],MATCH('STORE PERFORMANCE'!A14,SF.STOREPRIMARY[Material No],0),10)</f>
        <v/>
      </c>
    </row>
    <row r="15" spans="1:12" x14ac:dyDescent="0.35">
      <c r="A15" s="26">
        <f>SFMaterialNo</f>
        <v>100123</v>
      </c>
      <c r="B15" s="46" t="str">
        <f>IF(A15="","",VLOOKUP(A15,'STOCK CONTROL SHEET'!Details,2,FALSE))</f>
        <v>Envelopes A4</v>
      </c>
      <c r="C15" s="46" t="str">
        <f>IF(A15="","",VLOOKUP(A15,'STOCK CONTROL SHEET'!Details,3,FALSE))</f>
        <v>PCS</v>
      </c>
      <c r="D15" s="46" t="str">
        <f>INDEX(SF.STOREPRIMARY[],MATCH('STORE PERFORMANCE'!A15,SFMaterialNo,0),9)</f>
        <v/>
      </c>
      <c r="E15" s="47">
        <f>INDEX(SF.STOREPRIMARY[],MATCH('STORE PERFORMANCE'!A15,SF.STOREPRIMARY[Material No],0),10)</f>
        <v>3206</v>
      </c>
    </row>
    <row r="16" spans="1:12" x14ac:dyDescent="0.35">
      <c r="A16" s="26">
        <f>SFMaterialNo</f>
        <v>100228</v>
      </c>
      <c r="B16" s="46" t="str">
        <f>IF(A16="","",VLOOKUP(A16,'STOCK CONTROL SHEET'!Details,2,FALSE))</f>
        <v>A3 Security Envelopes</v>
      </c>
      <c r="C16" s="46" t="str">
        <f>IF(A16="","",VLOOKUP(A16,'STOCK CONTROL SHEET'!Details,3,FALSE))</f>
        <v>PCS</v>
      </c>
      <c r="D16" s="46">
        <f>INDEX(SF.STOREPRIMARY[],MATCH('STORE PERFORMANCE'!A16,SFMaterialNo,0),9)</f>
        <v>10</v>
      </c>
      <c r="E16" s="47" t="str">
        <f>INDEX(SF.STOREPRIMARY[],MATCH('STORE PERFORMANCE'!A16,SF.STOREPRIMARY[Material No],0),10)</f>
        <v/>
      </c>
    </row>
    <row r="17" spans="1:5" x14ac:dyDescent="0.35">
      <c r="A17" s="26">
        <f>SFMaterialNo</f>
        <v>100124</v>
      </c>
      <c r="B17" s="46" t="str">
        <f>IF(A17="","",VLOOKUP(A17,'STOCK CONTROL SHEET'!Details,2,FALSE))</f>
        <v>Envelopes A3 (16*12) White</v>
      </c>
      <c r="C17" s="46" t="str">
        <f>IF(A17="","",VLOOKUP(A17,'STOCK CONTROL SHEET'!Details,3,FALSE))</f>
        <v>PCS</v>
      </c>
      <c r="D17" s="46" t="str">
        <f>INDEX(SF.STOREPRIMARY[],MATCH('STORE PERFORMANCE'!A17,SFMaterialNo,0),9)</f>
        <v/>
      </c>
      <c r="E17" s="47">
        <f>INDEX(SF.STOREPRIMARY[],MATCH('STORE PERFORMANCE'!A17,SF.STOREPRIMARY[Material No],0),10)</f>
        <v>25</v>
      </c>
    </row>
    <row r="18" spans="1:5" x14ac:dyDescent="0.35">
      <c r="A18" s="26">
        <f>SFMaterialNo</f>
        <v>100122</v>
      </c>
      <c r="B18" s="46" t="str">
        <f>IF(A18="","",VLOOKUP(A18,'STOCK CONTROL SHEET'!Details,2,FALSE))</f>
        <v>Envelopes A5</v>
      </c>
      <c r="C18" s="46" t="str">
        <f>IF(A18="","",VLOOKUP(A18,'STOCK CONTROL SHEET'!Details,3,FALSE))</f>
        <v>PCS</v>
      </c>
      <c r="D18" s="46">
        <f>INDEX(SF.STOREPRIMARY[],MATCH('STORE PERFORMANCE'!A18,SFMaterialNo,0),9)</f>
        <v>3579</v>
      </c>
      <c r="E18" s="47" t="str">
        <f>INDEX(SF.STOREPRIMARY[],MATCH('STORE PERFORMANCE'!A18,SF.STOREPRIMARY[Material No],0),10)</f>
        <v/>
      </c>
    </row>
    <row r="19" spans="1:5" x14ac:dyDescent="0.35">
      <c r="A19" s="26">
        <f>SFMaterialNo</f>
        <v>100130</v>
      </c>
      <c r="B19" s="46" t="str">
        <f>IF(A19="","",VLOOKUP(A19,'STOCK CONTROL SHEET'!Details,2,FALSE))</f>
        <v>Emigration Benefit Folders</v>
      </c>
      <c r="C19" s="46" t="str">
        <f>IF(A19="","",VLOOKUP(A19,'STOCK CONTROL SHEET'!Details,3,FALSE))</f>
        <v>PCS</v>
      </c>
      <c r="D19" s="46" t="str">
        <f>INDEX(SF.STOREPRIMARY[],MATCH('STORE PERFORMANCE'!A19,SFMaterialNo,0),9)</f>
        <v/>
      </c>
      <c r="E19" s="47">
        <f>INDEX(SF.STOREPRIMARY[],MATCH('STORE PERFORMANCE'!A19,SF.STOREPRIMARY[Material No],0),10)</f>
        <v>288</v>
      </c>
    </row>
    <row r="20" spans="1:5" x14ac:dyDescent="0.35">
      <c r="A20" s="26">
        <f>SFMaterialNo</f>
        <v>100138</v>
      </c>
      <c r="B20" s="46" t="str">
        <f>IF(A20="","",VLOOKUP(A20,'STOCK CONTROL SHEET'!Details,2,FALSE))</f>
        <v>Fingerprint Forms SF/003</v>
      </c>
      <c r="C20" s="46" t="str">
        <f>IF(A20="","",VLOOKUP(A20,'STOCK CONTROL SHEET'!Details,3,FALSE))</f>
        <v>PCS</v>
      </c>
      <c r="D20" s="46" t="e">
        <f>INDEX(SF.STOREPRIMARY[],MATCH('STORE PERFORMANCE'!A20,SFMaterialNo,0),9)</f>
        <v>#VALUE!</v>
      </c>
      <c r="E20" s="47" t="e">
        <f>INDEX(SF.STOREPRIMARY[],MATCH('STORE PERFORMANCE'!A20,SF.STOREPRIMARY[Material No],0),10)</f>
        <v>#VALUE!</v>
      </c>
    </row>
    <row r="21" spans="1:5" x14ac:dyDescent="0.35">
      <c r="A21" s="26">
        <f>SFMaterialNo</f>
        <v>100221</v>
      </c>
      <c r="B21" s="46" t="str">
        <f>IF(A21="","",VLOOKUP(A21,'STOCK CONTROL SHEET'!Details,2,FALSE))</f>
        <v>Funeral Grant Forms 006</v>
      </c>
      <c r="C21" s="46" t="str">
        <f>IF(A21="","",VLOOKUP(A21,'STOCK CONTROL SHEET'!Details,3,FALSE))</f>
        <v>PCS</v>
      </c>
      <c r="D21" s="46">
        <f>INDEX(SF.STOREPRIMARY[],MATCH('STORE PERFORMANCE'!A21,SFMaterialNo,0),9)</f>
        <v>223</v>
      </c>
      <c r="E21" s="47" t="str">
        <f>INDEX(SF.STOREPRIMARY[],MATCH('STORE PERFORMANCE'!A21,SF.STOREPRIMARY[Material No],0),10)</f>
        <v/>
      </c>
    </row>
    <row r="22" spans="1:5" x14ac:dyDescent="0.35">
      <c r="A22" s="26">
        <f>SFMaterialNo</f>
        <v>100155</v>
      </c>
      <c r="B22" s="46" t="str">
        <f>IF(A22="","",VLOOKUP(A22,'STOCK CONTROL SHEET'!Details,2,FALSE))</f>
        <v>Finance Account Folders</v>
      </c>
      <c r="C22" s="46" t="str">
        <f>IF(A22="","",VLOOKUP(A22,'STOCK CONTROL SHEET'!Details,3,FALSE))</f>
        <v>PCS</v>
      </c>
      <c r="D22" s="46">
        <f>INDEX(SF.STOREPRIMARY[],MATCH('STORE PERFORMANCE'!A22,SFMaterialNo,0),9)</f>
        <v>42</v>
      </c>
      <c r="E22" s="47" t="str">
        <f>INDEX(SF.STOREPRIMARY[],MATCH('STORE PERFORMANCE'!A22,SF.STOREPRIMARY[Material No],0),10)</f>
        <v/>
      </c>
    </row>
    <row r="23" spans="1:5" x14ac:dyDescent="0.35">
      <c r="A23" s="26">
        <f>SFMaterialNo</f>
        <v>100219</v>
      </c>
      <c r="B23" s="46" t="str">
        <f>IF(A23="","",VLOOKUP(A23,'STOCK CONTROL SHEET'!Details,2,FALSE))</f>
        <v>Invalidity Ben. Forms/002</v>
      </c>
      <c r="C23" s="46" t="str">
        <f>IF(A23="","",VLOOKUP(A23,'STOCK CONTROL SHEET'!Details,3,FALSE))</f>
        <v>PCS</v>
      </c>
      <c r="D23" s="46">
        <f>INDEX(SF.STOREPRIMARY[],MATCH('STORE PERFORMANCE'!A23,SFMaterialNo,0),9)</f>
        <v>24118</v>
      </c>
      <c r="E23" s="47" t="str">
        <f>INDEX(SF.STOREPRIMARY[],MATCH('STORE PERFORMANCE'!A23,SF.STOREPRIMARY[Material No],0),10)</f>
        <v/>
      </c>
    </row>
    <row r="24" spans="1:5" x14ac:dyDescent="0.35">
      <c r="A24" s="26">
        <f>SFMaterialNo</f>
        <v>100178</v>
      </c>
      <c r="B24" s="46" t="str">
        <f>IF(A24="","",VLOOKUP(A24,'STOCK CONTROL SHEET'!Details,2,FALSE))</f>
        <v>Invalidity Ben. Folders</v>
      </c>
      <c r="C24" s="46" t="str">
        <f>IF(A24="","",VLOOKUP(A24,'STOCK CONTROL SHEET'!Details,3,FALSE))</f>
        <v>PCS</v>
      </c>
      <c r="D24" s="46" t="str">
        <f>INDEX(SF.STOREPRIMARY[],MATCH('STORE PERFORMANCE'!A24,SFMaterialNo,0),9)</f>
        <v/>
      </c>
      <c r="E24" s="47">
        <f>INDEX(SF.STOREPRIMARY[],MATCH('STORE PERFORMANCE'!A24,SF.STOREPRIMARY[Material No],0),10)</f>
        <v>1249</v>
      </c>
    </row>
    <row r="25" spans="1:5" x14ac:dyDescent="0.35">
      <c r="A25" s="26">
        <f>SFMaterialNo</f>
        <v>100143</v>
      </c>
      <c r="B25" s="46" t="str">
        <f>IF(A25="","",VLOOKUP(A25,'STOCK CONTROL SHEET'!Details,2,FALSE))</f>
        <v>Laminating Pouches</v>
      </c>
      <c r="C25" s="46" t="str">
        <f>IF(A25="","",VLOOKUP(A25,'STOCK CONTROL SHEET'!Details,3,FALSE))</f>
        <v>PCS</v>
      </c>
      <c r="D25" s="46" t="e">
        <f>INDEX(SF.STOREPRIMARY[],MATCH('STORE PERFORMANCE'!A25,SFMaterialNo,0),9)</f>
        <v>#VALUE!</v>
      </c>
      <c r="E25" s="47" t="e">
        <f>INDEX(SF.STOREPRIMARY[],MATCH('STORE PERFORMANCE'!A25,SF.STOREPRIMARY[Material No],0),10)</f>
        <v>#VALUE!</v>
      </c>
    </row>
    <row r="26" spans="1:5" x14ac:dyDescent="0.35">
      <c r="A26" s="26">
        <f>SFMaterialNo</f>
        <v>100145</v>
      </c>
      <c r="B26" s="46" t="str">
        <f>IF(A26="","",VLOOKUP(A26,'STOCK CONTROL SHEET'!Details,2,FALSE))</f>
        <v>Membership Cards (Blank)</v>
      </c>
      <c r="C26" s="46" t="str">
        <f>IF(A26="","",VLOOKUP(A26,'STOCK CONTROL SHEET'!Details,3,FALSE))</f>
        <v>PCS</v>
      </c>
      <c r="D26" s="46" t="str">
        <f>INDEX(SF.STOREPRIMARY[],MATCH('STORE PERFORMANCE'!A26,SFMaterialNo,0),9)</f>
        <v/>
      </c>
      <c r="E26" s="47">
        <f>INDEX(SF.STOREPRIMARY[],MATCH('STORE PERFORMANCE'!A26,SF.STOREPRIMARY[Material No],0),10)</f>
        <v>38600</v>
      </c>
    </row>
    <row r="27" spans="1:5" x14ac:dyDescent="0.35">
      <c r="A27" s="26">
        <f>SFMaterialNo</f>
        <v>100205</v>
      </c>
      <c r="B27" s="46" t="str">
        <f>IF(A27="","",VLOOKUP(A27,'STOCK CONTROL SHEET'!Details,2,FALSE))</f>
        <v>Employee Registration 003</v>
      </c>
      <c r="C27" s="46" t="str">
        <f>IF(A27="","",VLOOKUP(A27,'STOCK CONTROL SHEET'!Details,3,FALSE))</f>
        <v>PCS</v>
      </c>
      <c r="D27" s="46" t="str">
        <f>INDEX(SF.STOREPRIMARY[],MATCH('STORE PERFORMANCE'!A27,SFMaterialNo,0),9)</f>
        <v/>
      </c>
      <c r="E27" s="47" t="str">
        <f>INDEX(SF.STOREPRIMARY[],MATCH('STORE PERFORMANCE'!A27,SF.STOREPRIMARY[Material No],0),10)</f>
        <v/>
      </c>
    </row>
    <row r="28" spans="1:5" x14ac:dyDescent="0.35">
      <c r="A28" s="26">
        <f>SFMaterialNo</f>
        <v>100164</v>
      </c>
      <c r="B28" s="46" t="str">
        <f>IF(A28="","",VLOOKUP(A28,'STOCK CONTROL SHEET'!Details,2,FALSE))</f>
        <v>Verification of Claim SF 87</v>
      </c>
      <c r="C28" s="46" t="str">
        <f>IF(A28="","",VLOOKUP(A28,'STOCK CONTROL SHEET'!Details,3,FALSE))</f>
        <v>PCS</v>
      </c>
      <c r="D28" s="46" t="str">
        <f>INDEX(SF.STOREPRIMARY[],MATCH('STORE PERFORMANCE'!A28,SFMaterialNo,0),9)</f>
        <v/>
      </c>
      <c r="E28" s="47" t="str">
        <f>INDEX(SF.STOREPRIMARY[],MATCH('STORE PERFORMANCE'!A28,SF.STOREPRIMARY[Material No],0),10)</f>
        <v/>
      </c>
    </row>
    <row r="29" spans="1:5" x14ac:dyDescent="0.35">
      <c r="A29" s="26">
        <f>SFMaterialNo</f>
        <v>100211</v>
      </c>
      <c r="B29" s="46" t="str">
        <f>IF(A29="","",VLOOKUP(A29,'STOCK CONTROL SHEET'!Details,2,FALSE))</f>
        <v>Survivor Ben. Form</v>
      </c>
      <c r="C29" s="46" t="str">
        <f>IF(A29="","",VLOOKUP(A29,'STOCK CONTROL SHEET'!Details,3,FALSE))</f>
        <v>PCS</v>
      </c>
      <c r="D29" s="46">
        <f>INDEX(SF.STOREPRIMARY[],MATCH('STORE PERFORMANCE'!A29,SFMaterialNo,0),9)</f>
        <v>10</v>
      </c>
      <c r="E29" s="47" t="str">
        <f>INDEX(SF.STOREPRIMARY[],MATCH('STORE PERFORMANCE'!A29,SF.STOREPRIMARY[Material No],0),10)</f>
        <v/>
      </c>
    </row>
    <row r="30" spans="1:5" x14ac:dyDescent="0.35">
      <c r="A30" s="26">
        <f>SFMaterialNo</f>
        <v>100222</v>
      </c>
      <c r="B30" s="46" t="str">
        <f>IF(A30="","",VLOOKUP(A30,'STOCK CONTROL SHEET'!Details,2,FALSE))</f>
        <v>Unsound Mind DF/007</v>
      </c>
      <c r="C30" s="46" t="str">
        <f>IF(A30="","",VLOOKUP(A30,'STOCK CONTROL SHEET'!Details,3,FALSE))</f>
        <v>PCS</v>
      </c>
      <c r="D30" s="46" t="str">
        <f>INDEX(SF.STOREPRIMARY[],MATCH('STORE PERFORMANCE'!A30,SFMaterialNo,0),9)</f>
        <v/>
      </c>
      <c r="E30" s="47" t="str">
        <f>INDEX(SF.STOREPRIMARY[],MATCH('STORE PERFORMANCE'!A30,SF.STOREPRIMARY[Material No],0),10)</f>
        <v/>
      </c>
    </row>
    <row r="31" spans="1:5" x14ac:dyDescent="0.35">
      <c r="A31" s="26">
        <f>SFMaterialNo</f>
        <v>26</v>
      </c>
      <c r="B31" s="46" t="str">
        <f>IF(A31="","",VLOOKUP(A31,'STOCK CONTROL SHEET'!Details,2,FALSE))</f>
        <v>Plastic Bags A4</v>
      </c>
      <c r="C31" s="46" t="str">
        <f>IF(A31="","",VLOOKUP(A31,'STOCK CONTROL SHEET'!Details,3,FALSE))</f>
        <v>PCS</v>
      </c>
      <c r="D31" s="46" t="str">
        <f>INDEX(SF.STOREPRIMARY[],MATCH('STORE PERFORMANCE'!A31,SFMaterialNo,0),9)</f>
        <v/>
      </c>
      <c r="E31" s="47">
        <f>INDEX(SF.STOREPRIMARY[],MATCH('STORE PERFORMANCE'!A31,SF.STOREPRIMARY[Material No],0),10)</f>
        <v>48</v>
      </c>
    </row>
    <row r="32" spans="1:5" x14ac:dyDescent="0.35">
      <c r="A32" s="26">
        <f>SFMaterialNo</f>
        <v>27</v>
      </c>
      <c r="B32" s="46" t="str">
        <f>IF(A32="","",VLOOKUP(A32,'STOCK CONTROL SHEET'!Details,2,FALSE))</f>
        <v>Plastic Bags A3</v>
      </c>
      <c r="C32" s="46" t="str">
        <f>IF(A32="","",VLOOKUP(A32,'STOCK CONTROL SHEET'!Details,3,FALSE))</f>
        <v>PCS</v>
      </c>
      <c r="D32" s="46" t="str">
        <f>INDEX(SF.STOREPRIMARY[],MATCH('STORE PERFORMANCE'!A32,SFMaterialNo,0),9)</f>
        <v/>
      </c>
      <c r="E32" s="47">
        <f>INDEX(SF.STOREPRIMARY[],MATCH('STORE PERFORMANCE'!A32,SF.STOREPRIMARY[Material No],0),10)</f>
        <v>1500</v>
      </c>
    </row>
    <row r="33" spans="1:5" x14ac:dyDescent="0.35">
      <c r="A33" s="26">
        <f>SFMaterialNo</f>
        <v>100181</v>
      </c>
      <c r="B33" s="46" t="str">
        <f>IF(A33="","",VLOOKUP(A33,'STOCK CONTROL SHEET'!Details,2,FALSE))</f>
        <v>Registration Gen. Folders</v>
      </c>
      <c r="C33" s="46" t="str">
        <f>IF(A33="","",VLOOKUP(A33,'STOCK CONTROL SHEET'!Details,3,FALSE))</f>
        <v>PCS</v>
      </c>
      <c r="D33" s="46">
        <f>INDEX(SF.STOREPRIMARY[],MATCH('STORE PERFORMANCE'!A33,SFMaterialNo,0),9)</f>
        <v>2665</v>
      </c>
      <c r="E33" s="47" t="str">
        <f>INDEX(SF.STOREPRIMARY[],MATCH('STORE PERFORMANCE'!A33,SF.STOREPRIMARY[Material No],0),10)</f>
        <v/>
      </c>
    </row>
    <row r="34" spans="1:5" x14ac:dyDescent="0.35">
      <c r="A34" s="26">
        <f>SFMaterialNo</f>
        <v>100213</v>
      </c>
      <c r="B34" s="46" t="str">
        <f>IF(A34="","",VLOOKUP(A34,'STOCK CONTROL SHEET'!Details,2,FALSE))</f>
        <v>Schedule of Contribution</v>
      </c>
      <c r="C34" s="46" t="str">
        <f>IF(A34="","",VLOOKUP(A34,'STOCK CONTROL SHEET'!Details,3,FALSE))</f>
        <v>PCS</v>
      </c>
      <c r="D34" s="46" t="str">
        <f>INDEX(SF.STOREPRIMARY[],MATCH('STORE PERFORMANCE'!A34,SFMaterialNo,0),9)</f>
        <v/>
      </c>
      <c r="E34" s="47" t="str">
        <f>INDEX(SF.STOREPRIMARY[],MATCH('STORE PERFORMANCE'!A34,SF.STOREPRIMARY[Material No],0),10)</f>
        <v/>
      </c>
    </row>
    <row r="35" spans="1:5" x14ac:dyDescent="0.35">
      <c r="A35" s="26">
        <f>SFMaterialNo</f>
        <v>100177</v>
      </c>
      <c r="B35" s="46" t="str">
        <f>IF(A35="","",VLOOKUP(A35,'STOCK CONTROL SHEET'!Details,2,FALSE))</f>
        <v>Survivor Benefit Folders</v>
      </c>
      <c r="C35" s="46" t="str">
        <f>IF(A35="","",VLOOKUP(A35,'STOCK CONTROL SHEET'!Details,3,FALSE))</f>
        <v>PCS</v>
      </c>
      <c r="D35" s="46" t="str">
        <f>INDEX(SF.STOREPRIMARY[],MATCH('STORE PERFORMANCE'!A35,SFMaterialNo,0),9)</f>
        <v/>
      </c>
      <c r="E35" s="47">
        <f>INDEX(SF.STOREPRIMARY[],MATCH('STORE PERFORMANCE'!A35,SF.STOREPRIMARY[Material No],0),10)</f>
        <v>254</v>
      </c>
    </row>
    <row r="36" spans="1:5" x14ac:dyDescent="0.35">
      <c r="A36" s="26">
        <f>SFMaterialNo</f>
        <v>100159</v>
      </c>
      <c r="B36" s="46" t="str">
        <f>IF(A36="","",VLOOKUP(A36,'STOCK CONTROL SHEET'!Details,2,FALSE))</f>
        <v>Union Medical Cover Folders</v>
      </c>
      <c r="C36" s="46" t="str">
        <f>IF(A36="","",VLOOKUP(A36,'STOCK CONTROL SHEET'!Details,3,FALSE))</f>
        <v>PCS</v>
      </c>
      <c r="D36" s="46" t="str">
        <f>INDEX(SF.STOREPRIMARY[],MATCH('STORE PERFORMANCE'!A36,SFMaterialNo,0),9)</f>
        <v/>
      </c>
      <c r="E36" s="47">
        <f>INDEX(SF.STOREPRIMARY[],MATCH('STORE PERFORMANCE'!A36,SF.STOREPRIMARY[Material No],0),10)</f>
        <v>159</v>
      </c>
    </row>
    <row r="37" spans="1:5" x14ac:dyDescent="0.35">
      <c r="A37" s="26">
        <f>SFMaterialNo</f>
        <v>100150</v>
      </c>
      <c r="B37" s="46" t="str">
        <f>IF(A37="","",VLOOKUP(A37,'STOCK CONTROL SHEET'!Details,2,FALSE))</f>
        <v>SF/219 Forms</v>
      </c>
      <c r="C37" s="46" t="str">
        <f>IF(A37="","",VLOOKUP(A37,'STOCK CONTROL SHEET'!Details,3,FALSE))</f>
        <v>PCS</v>
      </c>
      <c r="D37" s="46" t="str">
        <f>INDEX(SF.STOREPRIMARY[],MATCH('STORE PERFORMANCE'!A37,SFMaterialNo,0),9)</f>
        <v/>
      </c>
      <c r="E37" s="47" t="str">
        <f>INDEX(SF.STOREPRIMARY[],MATCH('STORE PERFORMANCE'!A37,SF.STOREPRIMARY[Material No],0),10)</f>
        <v/>
      </c>
    </row>
    <row r="38" spans="1:5" x14ac:dyDescent="0.35">
      <c r="A38" s="26">
        <f>SFMaterialNo</f>
        <v>100127</v>
      </c>
      <c r="B38" s="46" t="str">
        <f>IF(A38="","",VLOOKUP(A38,'STOCK CONTROL SHEET'!Details,2,FALSE))</f>
        <v>Withdrawal Ben. Folders</v>
      </c>
      <c r="C38" s="46" t="str">
        <f>IF(A38="","",VLOOKUP(A38,'STOCK CONTROL SHEET'!Details,3,FALSE))</f>
        <v>PCS</v>
      </c>
      <c r="D38" s="46">
        <f>INDEX(SF.STOREPRIMARY[],MATCH('STORE PERFORMANCE'!A38,SFMaterialNo,0),9)</f>
        <v>390</v>
      </c>
      <c r="E38" s="47" t="str">
        <f>INDEX(SF.STOREPRIMARY[],MATCH('STORE PERFORMANCE'!A38,SF.STOREPRIMARY[Material No],0),10)</f>
        <v/>
      </c>
    </row>
    <row r="39" spans="1:5" ht="15.5" x14ac:dyDescent="0.35">
      <c r="A39" s="146" t="s">
        <v>190</v>
      </c>
      <c r="B39" s="146"/>
      <c r="C39" s="146"/>
      <c r="D39" s="146"/>
      <c r="E39" s="146"/>
    </row>
    <row r="40" spans="1:5" x14ac:dyDescent="0.35">
      <c r="A40" s="17" t="s">
        <v>22</v>
      </c>
      <c r="B40" s="18" t="s">
        <v>0</v>
      </c>
      <c r="C40" s="18" t="s">
        <v>1</v>
      </c>
      <c r="D40" s="18" t="s">
        <v>187</v>
      </c>
      <c r="E40" s="16" t="s">
        <v>188</v>
      </c>
    </row>
    <row r="41" spans="1:5" x14ac:dyDescent="0.35">
      <c r="A41" s="26">
        <v>100172</v>
      </c>
      <c r="B41" s="46" t="str">
        <f>IF(A41="","",VLOOKUP(A41,'STOCK CONTROL SHEET'!Details,2,FALSE))</f>
        <v>1 Part Statement Paper</v>
      </c>
      <c r="C41" s="46" t="str">
        <f>IF(A41="","",VLOOKUP(A41,'STOCK CONTROL SHEET'!Details,3,FALSE))</f>
        <v>PCS</v>
      </c>
      <c r="D41" s="46" t="str">
        <f>INDEX(COMP.STOREPRIMARY,MATCH('STORE PERFORMANCE'!A41,COMPMaterialNo,0),9)</f>
        <v/>
      </c>
      <c r="E41" s="47">
        <f>INDEX(COMP.STOREPRIMARY,MATCH('STORE PERFORMANCE'!A41,COMPMaterialNo,0),10)</f>
        <v>154000</v>
      </c>
    </row>
    <row r="42" spans="1:5" x14ac:dyDescent="0.35">
      <c r="A42" s="26">
        <v>100229</v>
      </c>
      <c r="B42" s="46" t="str">
        <f>IF(A42="","",VLOOKUP(A42,'STOCK CONTROL SHEET'!Details,2,FALSE))</f>
        <v>2 PP NCR Carbonated</v>
      </c>
      <c r="C42" s="46" t="str">
        <f>IF(A42="","",VLOOKUP(A42,'STOCK CONTROL SHEET'!Details,3,FALSE))</f>
        <v>PCS</v>
      </c>
      <c r="D42" s="46" t="str">
        <f>INDEX(COMP.STOREPRIMARY,MATCH('STORE PERFORMANCE'!A42,COMPMaterialNo,0),9)</f>
        <v/>
      </c>
      <c r="E42" s="47">
        <f>INDEX(COMP.STOREPRIMARY,MATCH('STORE PERFORMANCE'!A42,COMPMaterialNo,0),10)</f>
        <v>178000</v>
      </c>
    </row>
    <row r="43" spans="1:5" x14ac:dyDescent="0.35">
      <c r="A43" s="26">
        <v>200033</v>
      </c>
      <c r="B43" s="46" t="str">
        <f>IF(A43="","",VLOOKUP(A43,'STOCK CONTROL SHEET'!Details,2,FALSE))</f>
        <v>Epson Ribbon 2180</v>
      </c>
      <c r="C43" s="46" t="str">
        <f>IF(A43="","",VLOOKUP(A43,'STOCK CONTROL SHEET'!Details,3,FALSE))</f>
        <v>PCS</v>
      </c>
      <c r="D43" s="46" t="str">
        <f>INDEX(COMP.STOREPRIMARY,MATCH('STORE PERFORMANCE'!A43,COMPMaterialNo,0),9)</f>
        <v/>
      </c>
      <c r="E43" s="47">
        <f>INDEX(COMP.STOREPRIMARY,MATCH('STORE PERFORMANCE'!A43,COMPMaterialNo,0),10)</f>
        <v>2</v>
      </c>
    </row>
    <row r="44" spans="1:5" x14ac:dyDescent="0.35">
      <c r="A44" s="26">
        <v>37</v>
      </c>
      <c r="B44" s="46" t="str">
        <f>IF(A44="","",VLOOKUP(A44,'STOCK CONTROL SHEET'!Details,2,FALSE))</f>
        <v>Epson EB Projector/amp</v>
      </c>
      <c r="C44" s="46" t="str">
        <f>IF(A44="","",VLOOKUP(A44,'STOCK CONTROL SHEET'!Details,3,FALSE))</f>
        <v>NO</v>
      </c>
      <c r="D44" s="46" t="str">
        <f>INDEX(COMP.STOREPRIMARY,MATCH('STORE PERFORMANCE'!A44,COMPMaterialNo,0),9)</f>
        <v/>
      </c>
      <c r="E44" s="47" t="str">
        <f>INDEX(COMP.STOREPRIMARY,MATCH('STORE PERFORMANCE'!A44,COMPMaterialNo,0),10)</f>
        <v/>
      </c>
    </row>
    <row r="45" spans="1:5" x14ac:dyDescent="0.35">
      <c r="A45" s="26">
        <v>200024</v>
      </c>
      <c r="B45" s="46" t="str">
        <f>IF(A45="","",VLOOKUP(A45,'STOCK CONTROL SHEET'!Details,2,FALSE))</f>
        <v>Epson DFX 5000 Ribbon(8766)</v>
      </c>
      <c r="C45" s="46" t="str">
        <f>IF(A45="","",VLOOKUP(A45,'STOCK CONTROL SHEET'!Details,3,FALSE))</f>
        <v>PCS</v>
      </c>
      <c r="D45" s="46" t="str">
        <f>INDEX(COMP.STOREPRIMARY,MATCH('STORE PERFORMANCE'!A45,COMPMaterialNo,0),9)</f>
        <v/>
      </c>
      <c r="E45" s="47">
        <f>INDEX(COMP.STOREPRIMARY,MATCH('STORE PERFORMANCE'!A45,COMPMaterialNo,0),10)</f>
        <v>7</v>
      </c>
    </row>
    <row r="46" spans="1:5" x14ac:dyDescent="0.35">
      <c r="A46" s="26">
        <v>200031</v>
      </c>
      <c r="B46" s="46" t="str">
        <f>IF(A46="","",VLOOKUP(A46,'STOCK CONTROL SHEET'!Details,2,FALSE))</f>
        <v>Epson Ribbon LX 300 (8750)</v>
      </c>
      <c r="C46" s="46" t="str">
        <f>IF(A46="","",VLOOKUP(A46,'STOCK CONTROL SHEET'!Details,3,FALSE))</f>
        <v>NO</v>
      </c>
      <c r="D46" s="46" t="str">
        <f>INDEX(COMP.STOREPRIMARY,MATCH('STORE PERFORMANCE'!A46,COMPMaterialNo,0),9)</f>
        <v/>
      </c>
      <c r="E46" s="47">
        <f>INDEX(COMP.STOREPRIMARY,MATCH('STORE PERFORMANCE'!A46,COMPMaterialNo,0),10)</f>
        <v>5</v>
      </c>
    </row>
    <row r="47" spans="1:5" x14ac:dyDescent="0.35">
      <c r="A47" s="26">
        <v>200030</v>
      </c>
      <c r="B47" s="46" t="str">
        <f>IF(A47="","",VLOOKUP(A47,'STOCK CONTROL SHEET'!Details,2,FALSE))</f>
        <v>Epson DFX 9000</v>
      </c>
      <c r="C47" s="46" t="str">
        <f>IF(A47="","",VLOOKUP(A47,'STOCK CONTROL SHEET'!Details,3,FALSE))</f>
        <v>NO</v>
      </c>
      <c r="D47" s="46" t="str">
        <f>INDEX(COMP.STOREPRIMARY,MATCH('STORE PERFORMANCE'!A47,COMPMaterialNo,0),9)</f>
        <v/>
      </c>
      <c r="E47" s="47">
        <f>INDEX(COMP.STOREPRIMARY,MATCH('STORE PERFORMANCE'!A47,COMPMaterialNo,0),10)</f>
        <v>8</v>
      </c>
    </row>
    <row r="48" spans="1:5" x14ac:dyDescent="0.35">
      <c r="A48" s="26">
        <v>200067</v>
      </c>
      <c r="B48" s="46" t="str">
        <f>IF(A48="","",VLOOKUP(A48,'STOCK CONTROL SHEET'!Details,2,FALSE))</f>
        <v>Epson Ribbon LQ 690 (Black)</v>
      </c>
      <c r="C48" s="46" t="str">
        <f>IF(A48="","",VLOOKUP(A48,'STOCK CONTROL SHEET'!Details,3,FALSE))</f>
        <v>NO</v>
      </c>
      <c r="D48" s="46">
        <f>INDEX(COMP.STOREPRIMARY,MATCH('STORE PERFORMANCE'!A48,COMPMaterialNo,0),9)</f>
        <v>23</v>
      </c>
      <c r="E48" s="47" t="str">
        <f>INDEX(COMP.STOREPRIMARY,MATCH('STORE PERFORMANCE'!A48,COMPMaterialNo,0),10)</f>
        <v/>
      </c>
    </row>
    <row r="49" spans="1:5" x14ac:dyDescent="0.35">
      <c r="A49" s="26">
        <v>200034</v>
      </c>
      <c r="B49" s="46" t="str">
        <f>IF(A49="","",VLOOKUP(A49,'STOCK CONTROL SHEET'!Details,2,FALSE))</f>
        <v>Epson Ribbon LX 2090 FX</v>
      </c>
      <c r="C49" s="46" t="str">
        <f>IF(A49="","",VLOOKUP(A49,'STOCK CONTROL SHEET'!Details,3,FALSE))</f>
        <v>NO</v>
      </c>
      <c r="D49" s="46" t="str">
        <f>INDEX(COMP.STOREPRIMARY,MATCH('STORE PERFORMANCE'!A49,COMPMaterialNo,0),9)</f>
        <v/>
      </c>
      <c r="E49" s="47" t="str">
        <f>INDEX(COMP.STOREPRIMARY,MATCH('STORE PERFORMANCE'!A49,COMPMaterialNo,0),10)</f>
        <v/>
      </c>
    </row>
    <row r="50" spans="1:5" x14ac:dyDescent="0.35">
      <c r="A50" s="26">
        <v>200070</v>
      </c>
      <c r="B50" s="46" t="str">
        <f>IF(A50="","",VLOOKUP(A50,'STOCK CONTROL SHEET'!Details,2,FALSE))</f>
        <v>HP Laserjet Tonner 237A Black</v>
      </c>
      <c r="C50" s="46" t="str">
        <f>IF(A50="","",VLOOKUP(A50,'STOCK CONTROL SHEET'!Details,3,FALSE))</f>
        <v>NO</v>
      </c>
      <c r="D50" s="46" t="str">
        <f>INDEX(COMP.STOREPRIMARY,MATCH('STORE PERFORMANCE'!A50,COMPMaterialNo,0),9)</f>
        <v/>
      </c>
      <c r="E50" s="47">
        <f>INDEX(COMP.STOREPRIMARY,MATCH('STORE PERFORMANCE'!A50,COMPMaterialNo,0),10)</f>
        <v>14</v>
      </c>
    </row>
    <row r="51" spans="1:5" x14ac:dyDescent="0.35">
      <c r="A51" s="26">
        <v>200066</v>
      </c>
      <c r="B51" s="46" t="str">
        <f>IF(A51="","",VLOOKUP(A51,'STOCK CONTROL SHEET'!Details,2,FALSE))</f>
        <v>HP Laserjet Tonner 130A (Magenta)</v>
      </c>
      <c r="C51" s="46" t="str">
        <f>IF(A51="","",VLOOKUP(A51,'STOCK CONTROL SHEET'!Details,3,FALSE))</f>
        <v>NO</v>
      </c>
      <c r="D51" s="46" t="str">
        <f>INDEX(COMP.STOREPRIMARY,MATCH('STORE PERFORMANCE'!A51,COMPMaterialNo,0),9)</f>
        <v/>
      </c>
      <c r="E51" s="47" t="str">
        <f>INDEX(COMP.STOREPRIMARY,MATCH('STORE PERFORMANCE'!A51,COMPMaterialNo,0),10)</f>
        <v/>
      </c>
    </row>
    <row r="52" spans="1:5" x14ac:dyDescent="0.35">
      <c r="A52" s="26">
        <v>200007</v>
      </c>
      <c r="B52" s="46" t="str">
        <f>IF(A52="","",VLOOKUP(A52,'STOCK CONTROL SHEET'!Details,2,FALSE))</f>
        <v>HP Laserjet 4600N Tonner (9723A) (Magenta)</v>
      </c>
      <c r="C52" s="46" t="str">
        <f>IF(A52="","",VLOOKUP(A52,'STOCK CONTROL SHEET'!Details,3,FALSE))</f>
        <v>NO</v>
      </c>
      <c r="D52" s="46" t="str">
        <f>INDEX(COMP.STOREPRIMARY,MATCH('STORE PERFORMANCE'!A52,COMPMaterialNo,0),9)</f>
        <v/>
      </c>
      <c r="E52" s="47" t="str">
        <f>INDEX(COMP.STOREPRIMARY,MATCH('STORE PERFORMANCE'!A52,COMPMaterialNo,0),10)</f>
        <v/>
      </c>
    </row>
    <row r="53" spans="1:5" x14ac:dyDescent="0.35">
      <c r="A53" s="26">
        <v>200076</v>
      </c>
      <c r="B53" s="46" t="str">
        <f>IF(A53="","",VLOOKUP(A53,'STOCK CONTROL SHEET'!Details,2,FALSE))</f>
        <v>HP Laserjet Tonner CF 541A (Cyan)</v>
      </c>
      <c r="C53" s="46" t="str">
        <f>IF(A53="","",VLOOKUP(A53,'STOCK CONTROL SHEET'!Details,3,FALSE))</f>
        <v>NO</v>
      </c>
      <c r="D53" s="46" t="str">
        <f>INDEX(COMP.STOREPRIMARY,MATCH('STORE PERFORMANCE'!A53,COMPMaterialNo,0),9)</f>
        <v/>
      </c>
      <c r="E53" s="47" t="str">
        <f>INDEX(COMP.STOREPRIMARY,MATCH('STORE PERFORMANCE'!A53,COMPMaterialNo,0),10)</f>
        <v/>
      </c>
    </row>
    <row r="54" spans="1:5" x14ac:dyDescent="0.35">
      <c r="A54" s="26">
        <v>200072</v>
      </c>
      <c r="B54" s="46" t="str">
        <f>IF(A54="","",VLOOKUP(A54,'STOCK CONTROL SHEET'!Details,2,FALSE))</f>
        <v>HP Laserjet Tonner CF 226A</v>
      </c>
      <c r="C54" s="46" t="str">
        <f>IF(A54="","",VLOOKUP(A54,'STOCK CONTROL SHEET'!Details,3,FALSE))</f>
        <v>NO</v>
      </c>
      <c r="D54" s="46" t="str">
        <f>INDEX(COMP.STOREPRIMARY,MATCH('STORE PERFORMANCE'!A54,COMPMaterialNo,0),9)</f>
        <v/>
      </c>
      <c r="E54" s="47" t="str">
        <f>INDEX(COMP.STOREPRIMARY,MATCH('STORE PERFORMANCE'!A54,COMPMaterialNo,0),10)</f>
        <v/>
      </c>
    </row>
    <row r="55" spans="1:5" x14ac:dyDescent="0.35">
      <c r="A55" s="26">
        <v>200059</v>
      </c>
      <c r="B55" s="46" t="str">
        <f>IF(A55="","",VLOOKUP(A55,'STOCK CONTROL SHEET'!Details,2,FALSE))</f>
        <v>HP Laserjet Tonner 402A (Yellow)</v>
      </c>
      <c r="C55" s="46" t="str">
        <f>IF(A55="","",VLOOKUP(A55,'STOCK CONTROL SHEET'!Details,3,FALSE))</f>
        <v>NO</v>
      </c>
      <c r="D55" s="46" t="str">
        <f>INDEX(COMP.STOREPRIMARY,MATCH('STORE PERFORMANCE'!A55,COMPMaterialNo,0),9)</f>
        <v/>
      </c>
      <c r="E55" s="47" t="str">
        <f>INDEX(COMP.STOREPRIMARY,MATCH('STORE PERFORMANCE'!A55,COMPMaterialNo,0),10)</f>
        <v/>
      </c>
    </row>
    <row r="56" spans="1:5" x14ac:dyDescent="0.35">
      <c r="A56" s="26">
        <v>200056</v>
      </c>
      <c r="B56" s="46" t="str">
        <f>IF(A56="","",VLOOKUP(A56,'STOCK CONTROL SHEET'!Details,2,FALSE))</f>
        <v>HP Laserjet Tonner 400A (Black)</v>
      </c>
      <c r="C56" s="46" t="str">
        <f>IF(A56="","",VLOOKUP(A56,'STOCK CONTROL SHEET'!Details,3,FALSE))</f>
        <v>NO</v>
      </c>
      <c r="D56" s="46" t="str">
        <f>INDEX(COMP.STOREPRIMARY,MATCH('STORE PERFORMANCE'!A56,COMPMaterialNo,0),9)</f>
        <v/>
      </c>
      <c r="E56" s="47" t="str">
        <f>INDEX(COMP.STOREPRIMARY,MATCH('STORE PERFORMANCE'!A56,COMPMaterialNo,0),10)</f>
        <v/>
      </c>
    </row>
    <row r="57" spans="1:5" x14ac:dyDescent="0.35">
      <c r="A57" s="26">
        <v>200065</v>
      </c>
      <c r="B57" s="46" t="str">
        <f>IF(A57="","",VLOOKUP(A57,'STOCK CONTROL SHEET'!Details,2,FALSE))</f>
        <v>HP Laserjet Tonner 130A (Yellow)</v>
      </c>
      <c r="C57" s="46" t="str">
        <f>IF(A57="","",VLOOKUP(A57,'STOCK CONTROL SHEET'!Details,3,FALSE))</f>
        <v>NO</v>
      </c>
      <c r="D57" s="46" t="str">
        <f>INDEX(COMP.STOREPRIMARY,MATCH('STORE PERFORMANCE'!A57,COMPMaterialNo,0),9)</f>
        <v/>
      </c>
      <c r="E57" s="47" t="str">
        <f>INDEX(COMP.STOREPRIMARY,MATCH('STORE PERFORMANCE'!A57,COMPMaterialNo,0),10)</f>
        <v/>
      </c>
    </row>
    <row r="58" spans="1:5" x14ac:dyDescent="0.35">
      <c r="A58" s="26">
        <v>200075</v>
      </c>
      <c r="B58" s="46" t="str">
        <f>IF(A58="","",VLOOKUP(A58,'STOCK CONTROL SHEET'!Details,2,FALSE))</f>
        <v>HP Laserjet Tonner CF 540A (Black)</v>
      </c>
      <c r="C58" s="46" t="str">
        <f>IF(A58="","",VLOOKUP(A58,'STOCK CONTROL SHEET'!Details,3,FALSE))</f>
        <v>NO</v>
      </c>
      <c r="D58" s="46" t="str">
        <f>INDEX(COMP.STOREPRIMARY,MATCH('STORE PERFORMANCE'!A58,COMPMaterialNo,0),9)</f>
        <v/>
      </c>
      <c r="E58" s="47" t="str">
        <f>INDEX(COMP.STOREPRIMARY,MATCH('STORE PERFORMANCE'!A58,COMPMaterialNo,0),10)</f>
        <v/>
      </c>
    </row>
    <row r="59" spans="1:5" x14ac:dyDescent="0.35">
      <c r="A59" s="26">
        <v>200073</v>
      </c>
      <c r="B59" s="46" t="str">
        <f>IF(A59="","",VLOOKUP(A59,'STOCK CONTROL SHEET'!Details,2,FALSE))</f>
        <v xml:space="preserve">HP Laserjet Tonner CF 287A </v>
      </c>
      <c r="C59" s="46" t="str">
        <f>IF(A59="","",VLOOKUP(A59,'STOCK CONTROL SHEET'!Details,3,FALSE))</f>
        <v>NO</v>
      </c>
      <c r="D59" s="46" t="str">
        <f>INDEX(COMP.STOREPRIMARY,MATCH('STORE PERFORMANCE'!A59,COMPMaterialNo,0),9)</f>
        <v/>
      </c>
      <c r="E59" s="47">
        <f>INDEX(COMP.STOREPRIMARY,MATCH('STORE PERFORMANCE'!A59,COMPMaterialNo,0),10)</f>
        <v>1</v>
      </c>
    </row>
    <row r="60" spans="1:5" x14ac:dyDescent="0.35">
      <c r="A60" s="26">
        <v>200064</v>
      </c>
      <c r="B60" s="46" t="str">
        <f>IF(A60="","",VLOOKUP(A60,'STOCK CONTROL SHEET'!Details,2,FALSE))</f>
        <v xml:space="preserve">HP Laserjet Tonner 130A (Cyan) </v>
      </c>
      <c r="C60" s="46" t="str">
        <f>IF(A60="","",VLOOKUP(A60,'STOCK CONTROL SHEET'!Details,3,FALSE))</f>
        <v>NO</v>
      </c>
      <c r="D60" s="46" t="str">
        <f>INDEX(COMP.STOREPRIMARY,MATCH('STORE PERFORMANCE'!A60,COMPMaterialNo,0),9)</f>
        <v/>
      </c>
      <c r="E60" s="47" t="str">
        <f>INDEX(COMP.STOREPRIMARY,MATCH('STORE PERFORMANCE'!A60,COMPMaterialNo,0),10)</f>
        <v/>
      </c>
    </row>
    <row r="61" spans="1:5" x14ac:dyDescent="0.35">
      <c r="A61" s="26">
        <v>200063</v>
      </c>
      <c r="B61" s="46" t="str">
        <f>IF(A61="","",VLOOKUP(A61,'STOCK CONTROL SHEET'!Details,2,FALSE))</f>
        <v xml:space="preserve">HP Laserjet Tonner 130A (Black) </v>
      </c>
      <c r="C61" s="46" t="str">
        <f>IF(A61="","",VLOOKUP(A61,'STOCK CONTROL SHEET'!Details,3,FALSE))</f>
        <v>NO</v>
      </c>
      <c r="D61" s="46" t="str">
        <f>INDEX(COMP.STOREPRIMARY,MATCH('STORE PERFORMANCE'!A61,COMPMaterialNo,0),9)</f>
        <v/>
      </c>
      <c r="E61" s="47" t="str">
        <f>INDEX(COMP.STOREPRIMARY,MATCH('STORE PERFORMANCE'!A61,COMPMaterialNo,0),10)</f>
        <v/>
      </c>
    </row>
    <row r="62" spans="1:5" x14ac:dyDescent="0.35">
      <c r="A62" s="26">
        <v>200009</v>
      </c>
      <c r="B62" s="46" t="str">
        <f>IF(A62="","",VLOOKUP(A62,'STOCK CONTROL SHEET'!Details,2,FALSE))</f>
        <v xml:space="preserve">HP Laserjet 4600N Tonner (9721A) Blue </v>
      </c>
      <c r="C62" s="46" t="str">
        <f>IF(A62="","",VLOOKUP(A62,'STOCK CONTROL SHEET'!Details,3,FALSE))</f>
        <v>NO</v>
      </c>
      <c r="D62" s="46" t="str">
        <f>INDEX(COMP.STOREPRIMARY,MATCH('STORE PERFORMANCE'!A62,COMPMaterialNo,0),9)</f>
        <v/>
      </c>
      <c r="E62" s="47" t="str">
        <f>INDEX(COMP.STOREPRIMARY,MATCH('STORE PERFORMANCE'!A62,COMPMaterialNo,0),10)</f>
        <v/>
      </c>
    </row>
    <row r="63" spans="1:5" x14ac:dyDescent="0.35">
      <c r="A63" s="26">
        <v>200010</v>
      </c>
      <c r="B63" s="46" t="str">
        <f>IF(A63="","",VLOOKUP(A63,'STOCK CONTROL SHEET'!Details,2,FALSE))</f>
        <v xml:space="preserve">HP Laserjet 4600N Tonner (9720A) Black </v>
      </c>
      <c r="C63" s="46" t="str">
        <f>IF(A63="","",VLOOKUP(A63,'STOCK CONTROL SHEET'!Details,3,FALSE))</f>
        <v>NO</v>
      </c>
      <c r="D63" s="46" t="str">
        <f>INDEX(COMP.STOREPRIMARY,MATCH('STORE PERFORMANCE'!A63,COMPMaterialNo,0),9)</f>
        <v/>
      </c>
      <c r="E63" s="47">
        <f>INDEX(COMP.STOREPRIMARY,MATCH('STORE PERFORMANCE'!A63,COMPMaterialNo,0),10)</f>
        <v>8</v>
      </c>
    </row>
    <row r="64" spans="1:5" x14ac:dyDescent="0.35">
      <c r="A64" s="26">
        <v>200000</v>
      </c>
      <c r="B64" s="46" t="str">
        <f>IF(A64="","",VLOOKUP(A64,'STOCK CONTROL SHEET'!Details,2,FALSE))</f>
        <v xml:space="preserve">HP Laserjet Tonner (9722A) Yellow </v>
      </c>
      <c r="C64" s="46" t="str">
        <f>IF(A64="","",VLOOKUP(A64,'STOCK CONTROL SHEET'!Details,3,FALSE))</f>
        <v>NO</v>
      </c>
      <c r="D64" s="46" t="str">
        <f>INDEX(COMP.STOREPRIMARY,MATCH('STORE PERFORMANCE'!A64,COMPMaterialNo,0),9)</f>
        <v/>
      </c>
      <c r="E64" s="47" t="str">
        <f>INDEX(COMP.STOREPRIMARY,MATCH('STORE PERFORMANCE'!A64,COMPMaterialNo,0),10)</f>
        <v/>
      </c>
    </row>
    <row r="65" spans="1:5" x14ac:dyDescent="0.35">
      <c r="A65" s="26">
        <v>200079</v>
      </c>
      <c r="B65" s="46" t="str">
        <f>IF(A65="","",VLOOKUP(A65,'STOCK CONTROL SHEET'!Details,2,FALSE))</f>
        <v xml:space="preserve">HP Laserjet Tonner 543A (Magenta) </v>
      </c>
      <c r="C65" s="46" t="str">
        <f>IF(A65="","",VLOOKUP(A65,'STOCK CONTROL SHEET'!Details,3,FALSE))</f>
        <v>NO</v>
      </c>
      <c r="D65" s="46" t="str">
        <f>INDEX(COMP.STOREPRIMARY,MATCH('STORE PERFORMANCE'!A65,COMPMaterialNo,0),9)</f>
        <v/>
      </c>
      <c r="E65" s="47" t="str">
        <f>INDEX(COMP.STOREPRIMARY,MATCH('STORE PERFORMANCE'!A65,COMPMaterialNo,0),10)</f>
        <v/>
      </c>
    </row>
    <row r="66" spans="1:5" x14ac:dyDescent="0.35">
      <c r="A66" s="26">
        <v>200008</v>
      </c>
      <c r="B66" s="46" t="str">
        <f>IF(A66="","",VLOOKUP(A66,'STOCK CONTROL SHEET'!Details,2,FALSE))</f>
        <v>HP Laserjet Tonner 2550 Q3964A (Color)</v>
      </c>
      <c r="C66" s="46" t="str">
        <f>IF(A66="","",VLOOKUP(A66,'STOCK CONTROL SHEET'!Details,3,FALSE))</f>
        <v>NO</v>
      </c>
      <c r="D66" s="46" t="str">
        <f>INDEX(COMP.STOREPRIMARY,MATCH('STORE PERFORMANCE'!A66,COMPMaterialNo,0),9)</f>
        <v/>
      </c>
      <c r="E66" s="47">
        <f>INDEX(COMP.STOREPRIMARY,MATCH('STORE PERFORMANCE'!A66,COMPMaterialNo,0),10)</f>
        <v>1</v>
      </c>
    </row>
    <row r="67" spans="1:5" x14ac:dyDescent="0.35">
      <c r="A67" s="26">
        <v>200017</v>
      </c>
      <c r="B67" s="46" t="str">
        <f>IF(A67="","",VLOOKUP(A67,'STOCK CONTROL SHEET'!Details,2,FALSE))</f>
        <v>Lex Mark C920 Ribbon Magenta</v>
      </c>
      <c r="C67" s="46" t="str">
        <f>IF(A67="","",VLOOKUP(A67,'STOCK CONTROL SHEET'!Details,3,FALSE))</f>
        <v>NO</v>
      </c>
      <c r="D67" s="46" t="str">
        <f>INDEX(COMP.STOREPRIMARY,MATCH('STORE PERFORMANCE'!A67,COMPMaterialNo,0),9)</f>
        <v/>
      </c>
      <c r="E67" s="47">
        <f>INDEX(COMP.STOREPRIMARY,MATCH('STORE PERFORMANCE'!A67,COMPMaterialNo,0),10)</f>
        <v>3</v>
      </c>
    </row>
    <row r="68" spans="1:5" x14ac:dyDescent="0.35">
      <c r="A68" s="26">
        <v>200028</v>
      </c>
      <c r="B68" s="46" t="str">
        <f>IF(A68="","",VLOOKUP(A68,'STOCK CONTROL SHEET'!Details,2,FALSE))</f>
        <v>Lex Mark  C920 Ribbon Black</v>
      </c>
      <c r="C68" s="46" t="str">
        <f>IF(A68="","",VLOOKUP(A68,'STOCK CONTROL SHEET'!Details,3,FALSE))</f>
        <v>NO</v>
      </c>
      <c r="D68" s="46" t="str">
        <f>INDEX(COMP.STOREPRIMARY,MATCH('STORE PERFORMANCE'!A68,COMPMaterialNo,0),9)</f>
        <v/>
      </c>
      <c r="E68" s="47">
        <f>INDEX(COMP.STOREPRIMARY,MATCH('STORE PERFORMANCE'!A68,COMPMaterialNo,0),10)</f>
        <v>2</v>
      </c>
    </row>
    <row r="69" spans="1:5" x14ac:dyDescent="0.35">
      <c r="A69" s="26">
        <v>200029</v>
      </c>
      <c r="B69" s="46" t="str">
        <f>IF(A69="","",VLOOKUP(A69,'STOCK CONTROL SHEET'!Details,2,FALSE))</f>
        <v>Lex Mark C920 Yellow</v>
      </c>
      <c r="C69" s="46" t="str">
        <f>IF(A69="","",VLOOKUP(A69,'STOCK CONTROL SHEET'!Details,3,FALSE))</f>
        <v>NO</v>
      </c>
      <c r="D69" s="46" t="str">
        <f>INDEX(COMP.STOREPRIMARY,MATCH('STORE PERFORMANCE'!A69,COMPMaterialNo,0),9)</f>
        <v/>
      </c>
      <c r="E69" s="47">
        <f>INDEX(COMP.STOREPRIMARY,MATCH('STORE PERFORMANCE'!A69,COMPMaterialNo,0),10)</f>
        <v>4</v>
      </c>
    </row>
    <row r="70" spans="1:5" x14ac:dyDescent="0.35">
      <c r="A70" s="26">
        <v>38</v>
      </c>
      <c r="B70" s="46" t="str">
        <f>IF(A70="","",VLOOKUP(A70,'STOCK CONTROL SHEET'!Details,2,FALSE))</f>
        <v>Tonner Laser Jet 2550 LQ 3971A</v>
      </c>
      <c r="C70" s="46" t="str">
        <f>IF(A70="","",VLOOKUP(A70,'STOCK CONTROL SHEET'!Details,3,FALSE))</f>
        <v>EA</v>
      </c>
      <c r="D70" s="46" t="str">
        <f>INDEX(COMP.STOREPRIMARY,MATCH('STORE PERFORMANCE'!A70,COMPMaterialNo,0),9)</f>
        <v/>
      </c>
      <c r="E70" s="47" t="str">
        <f>INDEX(COMP.STOREPRIMARY,MATCH('STORE PERFORMANCE'!A70,COMPMaterialNo,0),10)</f>
        <v/>
      </c>
    </row>
    <row r="71" spans="1:5" x14ac:dyDescent="0.35">
      <c r="A71" s="26">
        <v>200001</v>
      </c>
      <c r="B71" s="46" t="str">
        <f>IF(A71="","",VLOOKUP(A71,'STOCK CONTROL SHEET'!Details,2,FALSE))</f>
        <v xml:space="preserve">HP Laserjet Tonner 2550L Q3960A  </v>
      </c>
      <c r="C71" s="46" t="str">
        <f>IF(A71="","",VLOOKUP(A71,'STOCK CONTROL SHEET'!Details,3,FALSE))</f>
        <v>NO</v>
      </c>
      <c r="D71" s="46" t="str">
        <f>INDEX(COMP.STOREPRIMARY,MATCH('STORE PERFORMANCE'!A71,COMPMaterialNo,0),9)</f>
        <v/>
      </c>
      <c r="E71" s="47">
        <f>INDEX(COMP.STOREPRIMARY,MATCH('STORE PERFORMANCE'!A71,COMPMaterialNo,0),10)</f>
        <v>4</v>
      </c>
    </row>
    <row r="72" spans="1:5" x14ac:dyDescent="0.35">
      <c r="A72" s="26">
        <v>200091</v>
      </c>
      <c r="B72" s="46" t="str">
        <f>IF(A72="","",VLOOKUP(A72,'STOCK CONTROL SHEET'!Details,2,FALSE))</f>
        <v>Kyocera Ecosys 3060-9X4BO47</v>
      </c>
      <c r="C72" s="46" t="str">
        <f>IF(A72="","",VLOOKUP(A72,'STOCK CONTROL SHEET'!Details,3,FALSE))</f>
        <v>NO</v>
      </c>
      <c r="D72" s="46">
        <f>INDEX(COMP.STOREPRIMARY,MATCH('STORE PERFORMANCE'!A72,COMPMaterialNo,0),9)</f>
        <v>1</v>
      </c>
      <c r="E72" s="47" t="str">
        <f>INDEX(COMP.STOREPRIMARY,MATCH('STORE PERFORMANCE'!A72,COMPMaterialNo,0),10)</f>
        <v/>
      </c>
    </row>
    <row r="73" spans="1:5" x14ac:dyDescent="0.35">
      <c r="A73" s="26">
        <v>100170</v>
      </c>
      <c r="B73" s="46" t="str">
        <f>IF(A73="","",VLOOKUP(A73,'STOCK CONTROL SHEET'!Details,2,FALSE))</f>
        <v>1 Part Plain Paper 9(1/2) * 11</v>
      </c>
      <c r="C73" s="46" t="str">
        <f>IF(A73="","",VLOOKUP(A73,'STOCK CONTROL SHEET'!Details,3,FALSE))</f>
        <v>NO</v>
      </c>
      <c r="D73" s="46" t="str">
        <f>INDEX(COMP.STOREPRIMARY,MATCH('STORE PERFORMANCE'!A73,COMPMaterialNo,0),9)</f>
        <v/>
      </c>
      <c r="E73" s="47">
        <f>INDEX(COMP.STOREPRIMARY,MATCH('STORE PERFORMANCE'!A73,COMPMaterialNo,0),10)</f>
        <v>10000</v>
      </c>
    </row>
    <row r="74" spans="1:5" x14ac:dyDescent="0.35">
      <c r="A74" s="26">
        <v>200051</v>
      </c>
      <c r="B74" s="46" t="str">
        <f>IF(A74="","",VLOOKUP(A74,'STOCK CONTROL SHEET'!Details,2,FALSE))</f>
        <v>Toner HP 2612 A Black-HP3015</v>
      </c>
      <c r="C74" s="46" t="str">
        <f>IF(A74="","",VLOOKUP(A74,'STOCK CONTROL SHEET'!Details,3,FALSE))</f>
        <v>NO</v>
      </c>
      <c r="D74" s="46" t="str">
        <f>INDEX(COMP.STOREPRIMARY,MATCH('STORE PERFORMANCE'!A74,COMPMaterialNo,0),9)</f>
        <v/>
      </c>
      <c r="E74" s="47">
        <f>INDEX(COMP.STOREPRIMARY,MATCH('STORE PERFORMANCE'!A74,COMPMaterialNo,0),10)</f>
        <v>1</v>
      </c>
    </row>
    <row r="75" spans="1:5" x14ac:dyDescent="0.35">
      <c r="A75" s="26">
        <v>200002</v>
      </c>
      <c r="B75" s="46" t="str">
        <f>IF(A75="","",VLOOKUP(A75,'STOCK CONTROL SHEET'!Details,2,FALSE))</f>
        <v xml:space="preserve">HP Laserjet Tonner C920 Cyan </v>
      </c>
      <c r="C75" s="46" t="str">
        <f>IF(A75="","",VLOOKUP(A75,'STOCK CONTROL SHEET'!Details,3,FALSE))</f>
        <v>NO</v>
      </c>
      <c r="D75" s="46" t="str">
        <f>INDEX(COMP.STOREPRIMARY,MATCH('STORE PERFORMANCE'!A75,COMPMaterialNo,0),9)</f>
        <v/>
      </c>
      <c r="E75" s="47">
        <f>INDEX(COMP.STOREPRIMARY,MATCH('STORE PERFORMANCE'!A75,COMPMaterialNo,0),10)</f>
        <v>5</v>
      </c>
    </row>
    <row r="76" spans="1:5" x14ac:dyDescent="0.35">
      <c r="A76" s="26">
        <v>200069</v>
      </c>
      <c r="B76" s="46" t="str">
        <f>IF(A76="","",VLOOKUP(A76,'STOCK CONTROL SHEET'!Details,2,FALSE))</f>
        <v>Toner Hp Laserjet CF281A</v>
      </c>
      <c r="C76" s="46" t="str">
        <f>IF(A76="","",VLOOKUP(A76,'STOCK CONTROL SHEET'!Details,3,FALSE))</f>
        <v>EA</v>
      </c>
      <c r="D76" s="46">
        <f>INDEX(COMP.STOREPRIMARY,MATCH('STORE PERFORMANCE'!A76,COMPMaterialNo,0),9)</f>
        <v>3</v>
      </c>
      <c r="E76" s="47" t="str">
        <f>INDEX(COMP.STOREPRIMARY,MATCH('STORE PERFORMANCE'!A76,COMPMaterialNo,0),10)</f>
        <v/>
      </c>
    </row>
    <row r="77" spans="1:5" x14ac:dyDescent="0.35">
      <c r="A77" s="26">
        <v>200016</v>
      </c>
      <c r="B77" s="46" t="str">
        <f>IF(A77="","",VLOOKUP(A77,'STOCK CONTROL SHEET'!Details,2,FALSE))</f>
        <v xml:space="preserve">HP Laserjet Tonner 3972 A (Yellow) </v>
      </c>
      <c r="C77" s="46" t="str">
        <f>IF(A77="","",VLOOKUP(A77,'STOCK CONTROL SHEET'!Details,3,FALSE))</f>
        <v>NO</v>
      </c>
      <c r="D77" s="46" t="str">
        <f>INDEX(COMP.STOREPRIMARY,MATCH('STORE PERFORMANCE'!A77,COMPMaterialNo,0),9)</f>
        <v/>
      </c>
      <c r="E77" s="47">
        <f>INDEX(COMP.STOREPRIMARY,MATCH('STORE PERFORMANCE'!A77,COMPMaterialNo,0),10)</f>
        <v>2</v>
      </c>
    </row>
    <row r="78" spans="1:5" x14ac:dyDescent="0.35">
      <c r="A78" s="26">
        <v>200011</v>
      </c>
      <c r="B78" s="46" t="str">
        <f>IF(A78="","",VLOOKUP(A78,'STOCK CONTROL SHEET'!Details,2,FALSE))</f>
        <v xml:space="preserve">HP Laserjet Tonner 4000T CF4127X (4050N) </v>
      </c>
      <c r="C78" s="46" t="str">
        <f>IF(A78="","",VLOOKUP(A78,'STOCK CONTROL SHEET'!Details,3,FALSE))</f>
        <v>NO</v>
      </c>
      <c r="D78" s="46" t="str">
        <f>INDEX(COMP.STOREPRIMARY,MATCH('STORE PERFORMANCE'!A78,COMPMaterialNo,0),9)</f>
        <v/>
      </c>
      <c r="E78" s="47">
        <f>INDEX(COMP.STOREPRIMARY,MATCH('STORE PERFORMANCE'!A78,COMPMaterialNo,0),10)</f>
        <v>4</v>
      </c>
    </row>
    <row r="79" spans="1:5" x14ac:dyDescent="0.35">
      <c r="A79" s="26">
        <v>100237</v>
      </c>
      <c r="B79" s="46" t="str">
        <f>IF(A79="","",VLOOKUP(A79,'STOCK CONTROL SHEET'!Details,2,FALSE))</f>
        <v>Toner HP 59A Black (259A)</v>
      </c>
      <c r="C79" s="46" t="str">
        <f>IF(A79="","",VLOOKUP(A79,'STOCK CONTROL SHEET'!Details,3,FALSE))</f>
        <v>NO</v>
      </c>
      <c r="D79" s="46" t="str">
        <f>INDEX(COMP.STOREPRIMARY,MATCH('STORE PERFORMANCE'!A79,COMPMaterialNo,0),9)</f>
        <v/>
      </c>
      <c r="E79" s="47" t="str">
        <f>INDEX(COMP.STOREPRIMARY,MATCH('STORE PERFORMANCE'!A79,COMPMaterialNo,0),10)</f>
        <v/>
      </c>
    </row>
    <row r="80" spans="1:5" x14ac:dyDescent="0.35">
      <c r="A80" s="26">
        <v>200089</v>
      </c>
      <c r="B80" s="46" t="str">
        <f>IF(A80="","",VLOOKUP(A80,'STOCK CONTROL SHEET'!Details,2,FALSE))</f>
        <v>Tonner Kyocera 4053A (Magenta) 8517m</v>
      </c>
      <c r="C80" s="46" t="str">
        <f>IF(A80="","",VLOOKUP(A80,'STOCK CONTROL SHEET'!Details,3,FALSE))</f>
        <v>NO</v>
      </c>
      <c r="D80" s="46" t="str">
        <f>INDEX(COMP.STOREPRIMARY,MATCH('STORE PERFORMANCE'!A80,COMPMaterialNo,0),9)</f>
        <v/>
      </c>
      <c r="E80" s="47">
        <f>INDEX(COMP.STOREPRIMARY,MATCH('STORE PERFORMANCE'!A80,COMPMaterialNo,0),10)</f>
        <v>1</v>
      </c>
    </row>
    <row r="81" spans="1:5" x14ac:dyDescent="0.35">
      <c r="A81" s="26">
        <v>200019</v>
      </c>
      <c r="B81" s="46" t="str">
        <f>IF(A81="","",VLOOKUP(A81,'STOCK CONTROL SHEET'!Details,2,FALSE))</f>
        <v xml:space="preserve">Tonner CE 390A </v>
      </c>
      <c r="C81" s="46" t="str">
        <f>IF(A81="","",VLOOKUP(A81,'STOCK CONTROL SHEET'!Details,3,FALSE))</f>
        <v>NO</v>
      </c>
      <c r="D81" s="46">
        <f>INDEX(COMP.STOREPRIMARY,MATCH('STORE PERFORMANCE'!A81,COMPMaterialNo,0),9)</f>
        <v>2</v>
      </c>
      <c r="E81" s="47" t="str">
        <f>INDEX(COMP.STOREPRIMARY,MATCH('STORE PERFORMANCE'!A81,COMPMaterialNo,0),10)</f>
        <v/>
      </c>
    </row>
    <row r="82" spans="1:5" x14ac:dyDescent="0.35">
      <c r="A82" s="26">
        <v>200015</v>
      </c>
      <c r="B82" s="46" t="str">
        <f>IF(A82="","",VLOOKUP(A82,'STOCK CONTROL SHEET'!Details,2,FALSE))</f>
        <v>Toner Cartridge HP C8543X (9040N)</v>
      </c>
      <c r="C82" s="46" t="str">
        <f>IF(A82="","",VLOOKUP(A82,'STOCK CONTROL SHEET'!Details,3,FALSE))</f>
        <v>NO</v>
      </c>
      <c r="D82" s="46" t="str">
        <f>INDEX(COMP.STOREPRIMARY,MATCH('STORE PERFORMANCE'!A82,COMPMaterialNo,0),9)</f>
        <v/>
      </c>
      <c r="E82" s="47" t="str">
        <f>INDEX(COMP.STOREPRIMARY,MATCH('STORE PERFORMANCE'!A82,COMPMaterialNo,0),10)</f>
        <v/>
      </c>
    </row>
    <row r="83" spans="1:5" x14ac:dyDescent="0.35">
      <c r="A83" s="26">
        <v>200085</v>
      </c>
      <c r="B83" s="46" t="str">
        <f>IF(A83="","",VLOOKUP(A83,'STOCK CONTROL SHEET'!Details,2,FALSE))</f>
        <v>Tonner TK 8515 (Cyan) 5053</v>
      </c>
      <c r="C83" s="46" t="str">
        <f>IF(A83="","",VLOOKUP(A83,'STOCK CONTROL SHEET'!Details,3,FALSE))</f>
        <v>NO</v>
      </c>
      <c r="D83" s="46" t="str">
        <f>INDEX(COMP.STOREPRIMARY,MATCH('STORE PERFORMANCE'!A83,COMPMaterialNo,0),9)</f>
        <v/>
      </c>
      <c r="E83" s="47">
        <f>INDEX(COMP.STOREPRIMARY,MATCH('STORE PERFORMANCE'!A83,COMPMaterialNo,0),10)</f>
        <v>2</v>
      </c>
    </row>
    <row r="84" spans="1:5" x14ac:dyDescent="0.35">
      <c r="A84" s="26">
        <v>200083</v>
      </c>
      <c r="B84" s="46" t="str">
        <f>IF(A84="","",VLOOKUP(A84,'STOCK CONTROL SHEET'!Details,2,FALSE))</f>
        <v>Tonner 8515TK (Yellow) 5053</v>
      </c>
      <c r="C84" s="46" t="str">
        <f>IF(A84="","",VLOOKUP(A84,'STOCK CONTROL SHEET'!Details,3,FALSE))</f>
        <v>NO</v>
      </c>
      <c r="D84" s="46" t="str">
        <f>INDEX(COMP.STOREPRIMARY,MATCH('STORE PERFORMANCE'!A84,COMPMaterialNo,0),9)</f>
        <v/>
      </c>
      <c r="E84" s="47">
        <f>INDEX(COMP.STOREPRIMARY,MATCH('STORE PERFORMANCE'!A84,COMPMaterialNo,0),10)</f>
        <v>2</v>
      </c>
    </row>
    <row r="85" spans="1:5" x14ac:dyDescent="0.35">
      <c r="A85" s="26">
        <v>200084</v>
      </c>
      <c r="B85" s="46" t="str">
        <f>IF(A85="","",VLOOKUP(A85,'STOCK CONTROL SHEET'!Details,2,FALSE))</f>
        <v>Tonner 8515TK (Magenta) 5053</v>
      </c>
      <c r="C85" s="46" t="str">
        <f>IF(A85="","",VLOOKUP(A85,'STOCK CONTROL SHEET'!Details,3,FALSE))</f>
        <v>NO</v>
      </c>
      <c r="D85" s="46" t="str">
        <f>INDEX(COMP.STOREPRIMARY,MATCH('STORE PERFORMANCE'!A85,COMPMaterialNo,0),9)</f>
        <v/>
      </c>
      <c r="E85" s="47" t="str">
        <f>INDEX(COMP.STOREPRIMARY,MATCH('STORE PERFORMANCE'!A85,COMPMaterialNo,0),10)</f>
        <v/>
      </c>
    </row>
    <row r="86" spans="1:5" x14ac:dyDescent="0.35">
      <c r="A86" s="26">
        <v>200086</v>
      </c>
      <c r="B86" s="46" t="str">
        <f>IF(A86="","",VLOOKUP(A86,'STOCK CONTROL SHEET'!Details,2,FALSE))</f>
        <v>Tonner TK 8517 KC (Black) 4053</v>
      </c>
      <c r="C86" s="46" t="str">
        <f>IF(A86="","",VLOOKUP(A86,'STOCK CONTROL SHEET'!Details,3,FALSE))</f>
        <v>NO</v>
      </c>
      <c r="D86" s="46">
        <f>INDEX(COMP.STOREPRIMARY,MATCH('STORE PERFORMANCE'!A86,COMPMaterialNo,0),9)</f>
        <v>2</v>
      </c>
      <c r="E86" s="47" t="str">
        <f>INDEX(COMP.STOREPRIMARY,MATCH('STORE PERFORMANCE'!A86,COMPMaterialNo,0),10)</f>
        <v/>
      </c>
    </row>
    <row r="87" spans="1:5" x14ac:dyDescent="0.35">
      <c r="A87" s="26">
        <v>200090</v>
      </c>
      <c r="B87" s="46" t="str">
        <f>IF(A87="","",VLOOKUP(A87,'STOCK CONTROL SHEET'!Details,2,FALSE))</f>
        <v>Tonner Kyocera TK 8517Y (Yellow) 4053</v>
      </c>
      <c r="C87" s="46" t="str">
        <f>IF(A87="","",VLOOKUP(A87,'STOCK CONTROL SHEET'!Details,3,FALSE))</f>
        <v>NO</v>
      </c>
      <c r="D87" s="46" t="str">
        <f>INDEX(COMP.STOREPRIMARY,MATCH('STORE PERFORMANCE'!A87,COMPMaterialNo,0),9)</f>
        <v/>
      </c>
      <c r="E87" s="47">
        <f>INDEX(COMP.STOREPRIMARY,MATCH('STORE PERFORMANCE'!A87,COMPMaterialNo,0),10)</f>
        <v>1</v>
      </c>
    </row>
    <row r="88" spans="1:5" x14ac:dyDescent="0.35">
      <c r="A88" s="26">
        <v>200088</v>
      </c>
      <c r="B88" s="46" t="str">
        <f>IF(A88="","",VLOOKUP(A88,'STOCK CONTROL SHEET'!Details,2,FALSE))</f>
        <v xml:space="preserve">Tonner Kyocera TK 8517C (Cyan) </v>
      </c>
      <c r="C88" s="46" t="str">
        <f>IF(A88="","",VLOOKUP(A88,'STOCK CONTROL SHEET'!Details,3,FALSE))</f>
        <v>NO</v>
      </c>
      <c r="D88" s="46" t="str">
        <f>INDEX(COMP.STOREPRIMARY,MATCH('STORE PERFORMANCE'!A88,COMPMaterialNo,0),9)</f>
        <v/>
      </c>
      <c r="E88" s="47">
        <f>INDEX(COMP.STOREPRIMARY,MATCH('STORE PERFORMANCE'!A88,COMPMaterialNo,0),10)</f>
        <v>3</v>
      </c>
    </row>
    <row r="89" spans="1:5" x14ac:dyDescent="0.35">
      <c r="A89" s="26">
        <v>200014</v>
      </c>
      <c r="B89" s="46" t="str">
        <f>IF(A89="","",VLOOKUP(A89,'STOCK CONTROL SHEET'!Details,2,FALSE))</f>
        <v>HP Laserjet Tonner CE 505A Black for L J 2055</v>
      </c>
      <c r="C89" s="46" t="str">
        <f>IF(A89="","",VLOOKUP(A89,'STOCK CONTROL SHEET'!Details,3,FALSE))</f>
        <v>NO</v>
      </c>
      <c r="D89" s="46" t="str">
        <f>INDEX(COMP.STOREPRIMARY,MATCH('STORE PERFORMANCE'!A89,COMPMaterialNo,0),9)</f>
        <v/>
      </c>
      <c r="E89" s="47" t="str">
        <f>INDEX(COMP.STOREPRIMARY,MATCH('STORE PERFORMANCE'!A89,COMPMaterialNo,0),10)</f>
        <v/>
      </c>
    </row>
    <row r="90" spans="1:5" x14ac:dyDescent="0.35">
      <c r="A90" s="26">
        <v>200058</v>
      </c>
      <c r="B90" s="46" t="str">
        <f>IF(A90="","",VLOOKUP(A90,'STOCK CONTROL SHEET'!Details,2,FALSE))</f>
        <v>Tonner CE 401A (Cyan)</v>
      </c>
      <c r="C90" s="46" t="str">
        <f>IF(A90="","",VLOOKUP(A90,'STOCK CONTROL SHEET'!Details,3,FALSE))</f>
        <v>NO</v>
      </c>
      <c r="D90" s="46" t="str">
        <f>INDEX(COMP.STOREPRIMARY,MATCH('STORE PERFORMANCE'!A90,COMPMaterialNo,0),9)</f>
        <v/>
      </c>
      <c r="E90" s="47" t="str">
        <f>INDEX(COMP.STOREPRIMARY,MATCH('STORE PERFORMANCE'!A90,COMPMaterialNo,0),10)</f>
        <v/>
      </c>
    </row>
    <row r="91" spans="1:5" x14ac:dyDescent="0.35">
      <c r="A91" s="26">
        <v>200054</v>
      </c>
      <c r="B91" s="46" t="str">
        <f>IF(A91="","",VLOOKUP(A91,'STOCK CONTROL SHEET'!Details,2,FALSE))</f>
        <v>CF 280A Black Laserjet</v>
      </c>
      <c r="C91" s="46" t="str">
        <f>IF(A91="","",VLOOKUP(A91,'STOCK CONTROL SHEET'!Details,3,FALSE))</f>
        <v>NO</v>
      </c>
      <c r="D91" s="46">
        <f>INDEX(COMP.STOREPRIMARY,MATCH('STORE PERFORMANCE'!A91,COMPMaterialNo,0),9)</f>
        <v>1</v>
      </c>
      <c r="E91" s="47" t="str">
        <f>INDEX(COMP.STOREPRIMARY,MATCH('STORE PERFORMANCE'!A91,COMPMaterialNo,0),10)</f>
        <v/>
      </c>
    </row>
    <row r="92" spans="1:5" x14ac:dyDescent="0.35">
      <c r="A92" s="26">
        <v>200005</v>
      </c>
      <c r="B92" s="46" t="str">
        <f>IF(A92="","",VLOOKUP(A92,'STOCK CONTROL SHEET'!Details,2,FALSE))</f>
        <v>Laserjet 4250Q 5942A</v>
      </c>
      <c r="C92" s="46" t="str">
        <f>IF(A92="","",VLOOKUP(A92,'STOCK CONTROL SHEET'!Details,3,FALSE))</f>
        <v>NO</v>
      </c>
      <c r="D92" s="46" t="str">
        <f>INDEX(COMP.STOREPRIMARY,MATCH('STORE PERFORMANCE'!A92,COMPMaterialNo,0),9)</f>
        <v/>
      </c>
      <c r="E92" s="47">
        <f>INDEX(COMP.STOREPRIMARY,MATCH('STORE PERFORMANCE'!A92,COMPMaterialNo,0),10)</f>
        <v>4</v>
      </c>
    </row>
    <row r="93" spans="1:5" x14ac:dyDescent="0.35">
      <c r="A93" s="26">
        <v>200006</v>
      </c>
      <c r="B93" s="46" t="str">
        <f>IF(A93="","",VLOOKUP(A93,'STOCK CONTROL SHEET'!Details,2,FALSE))</f>
        <v>Tonner Laserjet 1320 (5949A)</v>
      </c>
      <c r="C93" s="46" t="str">
        <f>IF(A93="","",VLOOKUP(A93,'STOCK CONTROL SHEET'!Details,3,FALSE))</f>
        <v>NO</v>
      </c>
      <c r="D93" s="46" t="str">
        <f>INDEX(COMP.STOREPRIMARY,MATCH('STORE PERFORMANCE'!A93,COMPMaterialNo,0),9)</f>
        <v/>
      </c>
      <c r="E93" s="47">
        <f>INDEX(COMP.STOREPRIMARY,MATCH('STORE PERFORMANCE'!A93,COMPMaterialNo,0),10)</f>
        <v>7</v>
      </c>
    </row>
    <row r="94" spans="1:5" x14ac:dyDescent="0.35">
      <c r="A94" s="26">
        <v>200025</v>
      </c>
      <c r="B94" s="46" t="str">
        <f>IF(A94="","",VLOOKUP(A94,'STOCK CONTROL SHEET'!Details,2,FALSE))</f>
        <v>Tonner DLQ 3500 (Black) SO 15066</v>
      </c>
      <c r="C94" s="46" t="str">
        <f>IF(A94="","",VLOOKUP(A94,'STOCK CONTROL SHEET'!Details,3,FALSE))</f>
        <v>NO</v>
      </c>
      <c r="D94" s="46" t="str">
        <f>INDEX(COMP.STOREPRIMARY,MATCH('STORE PERFORMANCE'!A94,COMPMaterialNo,0),9)</f>
        <v/>
      </c>
      <c r="E94" s="47" t="str">
        <f>INDEX(COMP.STOREPRIMARY,MATCH('STORE PERFORMANCE'!A94,COMPMaterialNo,0),10)</f>
        <v/>
      </c>
    </row>
    <row r="95" spans="1:5" x14ac:dyDescent="0.35">
      <c r="A95" s="26">
        <v>200022</v>
      </c>
      <c r="B95" s="46" t="str">
        <f>IF(A95="","",VLOOKUP(A95,'STOCK CONTROL SHEET'!Details,2,FALSE))</f>
        <v xml:space="preserve">Tally Ribbon </v>
      </c>
      <c r="C95" s="46" t="str">
        <f>IF(A95="","",VLOOKUP(A95,'STOCK CONTROL SHEET'!Details,3,FALSE))</f>
        <v>PCS</v>
      </c>
      <c r="D95" s="46" t="str">
        <f>INDEX(COMP.STOREPRIMARY,MATCH('STORE PERFORMANCE'!A95,COMPMaterialNo,0),9)</f>
        <v/>
      </c>
      <c r="E95" s="47">
        <f>INDEX(COMP.STOREPRIMARY,MATCH('STORE PERFORMANCE'!A95,COMPMaterialNo,0),10)</f>
        <v>1</v>
      </c>
    </row>
    <row r="96" spans="1:5" x14ac:dyDescent="0.35">
      <c r="A96" s="26">
        <v>200018</v>
      </c>
      <c r="B96" s="46" t="str">
        <f>IF(A96="","",VLOOKUP(A96,'STOCK CONTROL SHEET'!Details,2,FALSE))</f>
        <v>Laserjet Tonner 7553A (2015D)</v>
      </c>
      <c r="C96" s="46" t="str">
        <f>IF(A96="","",VLOOKUP(A96,'STOCK CONTROL SHEET'!Details,3,FALSE))</f>
        <v>NO</v>
      </c>
      <c r="D96" s="46" t="str">
        <f>INDEX(COMP.STOREPRIMARY,MATCH('STORE PERFORMANCE'!A96,COMPMaterialNo,0),9)</f>
        <v/>
      </c>
      <c r="E96" s="47" t="str">
        <f>INDEX(COMP.STOREPRIMARY,MATCH('STORE PERFORMANCE'!A96,COMPMaterialNo,0),10)</f>
        <v/>
      </c>
    </row>
    <row r="97" spans="1:5" x14ac:dyDescent="0.35">
      <c r="A97" s="26">
        <v>200053</v>
      </c>
      <c r="B97" s="46" t="str">
        <f>IF(A97="","",VLOOKUP(A97,'STOCK CONTROL SHEET'!Details,2,FALSE))</f>
        <v>Tonner CE 255A (Black)</v>
      </c>
      <c r="C97" s="46" t="str">
        <f>IF(A97="","",VLOOKUP(A97,'STOCK CONTROL SHEET'!Details,3,FALSE))</f>
        <v>NO</v>
      </c>
      <c r="D97" s="46">
        <f>INDEX(COMP.STOREPRIMARY,MATCH('STORE PERFORMANCE'!A97,COMPMaterialNo,0),9)</f>
        <v>4</v>
      </c>
      <c r="E97" s="47" t="str">
        <f>INDEX(COMP.STOREPRIMARY,MATCH('STORE PERFORMANCE'!A97,COMPMaterialNo,0),10)</f>
        <v/>
      </c>
    </row>
    <row r="98" spans="1:5" x14ac:dyDescent="0.35">
      <c r="A98" s="26">
        <v>200027</v>
      </c>
      <c r="B98" s="46" t="str">
        <f>IF(A98="","",VLOOKUP(A98,'STOCK CONTROL SHEET'!Details,2,FALSE))</f>
        <v>Oki ML 4410 Ribbon Dot Matrix</v>
      </c>
      <c r="C98" s="46" t="str">
        <f>IF(A98="","",VLOOKUP(A98,'STOCK CONTROL SHEET'!Details,3,FALSE))</f>
        <v>NO</v>
      </c>
      <c r="D98" s="46" t="str">
        <f>INDEX(COMP.STOREPRIMARY,MATCH('STORE PERFORMANCE'!A98,COMPMaterialNo,0),9)</f>
        <v/>
      </c>
      <c r="E98" s="47">
        <f>INDEX(COMP.STOREPRIMARY,MATCH('STORE PERFORMANCE'!A98,COMPMaterialNo,0),10)</f>
        <v>2</v>
      </c>
    </row>
    <row r="99" spans="1:5" x14ac:dyDescent="0.35">
      <c r="A99" s="26">
        <v>200004</v>
      </c>
      <c r="B99" s="46" t="str">
        <f>IF(A99="","",VLOOKUP(A99,'STOCK CONTROL SHEET'!Details,2,FALSE))</f>
        <v>Tonner Laserjet 1300</v>
      </c>
      <c r="C99" s="46" t="str">
        <f>IF(A99="","",VLOOKUP(A99,'STOCK CONTROL SHEET'!Details,3,FALSE))</f>
        <v>NO</v>
      </c>
      <c r="D99" s="46" t="str">
        <f>INDEX(COMP.STOREPRIMARY,MATCH('STORE PERFORMANCE'!A99,COMPMaterialNo,0),9)</f>
        <v/>
      </c>
      <c r="E99" s="47" t="str">
        <f>INDEX(COMP.STOREPRIMARY,MATCH('STORE PERFORMANCE'!A99,COMPMaterialNo,0),10)</f>
        <v/>
      </c>
    </row>
    <row r="100" spans="1:5" x14ac:dyDescent="0.35">
      <c r="A100" s="26">
        <v>200003</v>
      </c>
      <c r="B100" s="46" t="str">
        <f>IF(A100="","",VLOOKUP(A100,'STOCK CONTROL SHEET'!Details,2,FALSE))</f>
        <v>Tonner Laserjet HD 7115A (1200)</v>
      </c>
      <c r="C100" s="46" t="str">
        <f>IF(A100="","",VLOOKUP(A100,'STOCK CONTROL SHEET'!Details,3,FALSE))</f>
        <v>NO</v>
      </c>
      <c r="D100" s="46" t="str">
        <f>INDEX(COMP.STOREPRIMARY,MATCH('STORE PERFORMANCE'!A100,COMPMaterialNo,0),9)</f>
        <v/>
      </c>
      <c r="E100" s="47">
        <f>INDEX(COMP.STOREPRIMARY,MATCH('STORE PERFORMANCE'!A100,COMPMaterialNo,0),10)</f>
        <v>5</v>
      </c>
    </row>
    <row r="101" spans="1:5" x14ac:dyDescent="0.35">
      <c r="A101" s="26">
        <v>200081</v>
      </c>
      <c r="B101" s="46" t="str">
        <f>IF(A101="","",VLOOKUP(A101,'STOCK CONTROL SHEET'!Details,2,FALSE))</f>
        <v>Tonner 8515K (Black) 5053</v>
      </c>
      <c r="C101" s="46" t="str">
        <f>IF(A101="","",VLOOKUP(A101,'STOCK CONTROL SHEET'!Details,3,FALSE))</f>
        <v>NO</v>
      </c>
      <c r="D101" s="46" t="str">
        <f>INDEX(COMP.STOREPRIMARY,MATCH('STORE PERFORMANCE'!A101,COMPMaterialNo,0),9)</f>
        <v/>
      </c>
      <c r="E101" s="47" t="str">
        <f>INDEX(COMP.STOREPRIMARY,MATCH('STORE PERFORMANCE'!A101,COMPMaterialNo,0),10)</f>
        <v/>
      </c>
    </row>
    <row r="102" spans="1:5" x14ac:dyDescent="0.35">
      <c r="A102" s="26">
        <v>200017</v>
      </c>
      <c r="B102" s="48" t="str">
        <f>IF(A102="","",VLOOKUP(A102,'STOCK CONTROL SHEET'!Details,2,FALSE))</f>
        <v>Lex Mark C920 Ribbon Magenta</v>
      </c>
      <c r="C102" s="48" t="str">
        <f>IF(A102="","",VLOOKUP(A102,'STOCK CONTROL SHEET'!Details,3,FALSE))</f>
        <v>NO</v>
      </c>
      <c r="D102" s="48" t="str">
        <f>INDEX(COMP.STOREPRIMARY,MATCH('STORE PERFORMANCE'!A102,COMPMaterialNo,0),9)</f>
        <v/>
      </c>
      <c r="E102" s="49">
        <f>INDEX(COMP.STOREPRIMARY,MATCH('STORE PERFORMANCE'!A102,COMPMaterialNo,0),10)</f>
        <v>3</v>
      </c>
    </row>
    <row r="103" spans="1:5" x14ac:dyDescent="0.35">
      <c r="A103" s="30">
        <v>41</v>
      </c>
      <c r="B103" s="46" t="str">
        <f>IF(A103="","",VLOOKUP(A103,'STOCK CONTROL SHEET'!Details,2,FALSE))</f>
        <v>Tonner Kit TK-8525 (Magenta)</v>
      </c>
      <c r="C103" s="46" t="str">
        <f>IF(A103="","",VLOOKUP(A103,'STOCK CONTROL SHEET'!Details,3,FALSE))</f>
        <v>NO</v>
      </c>
      <c r="D103" s="46" t="str">
        <f>INDEX(COMP.STOREPRIMARY,MATCH('STORE PERFORMANCE'!A103,COMPMaterialNo,0),9)</f>
        <v/>
      </c>
      <c r="E103" s="47" t="str">
        <f>INDEX(COMP.STOREPRIMARY,MATCH('STORE PERFORMANCE'!A103,COMPMaterialNo,0),10)</f>
        <v/>
      </c>
    </row>
    <row r="104" spans="1:5" ht="15.5" x14ac:dyDescent="0.35">
      <c r="A104" s="146" t="s">
        <v>191</v>
      </c>
      <c r="B104" s="146"/>
      <c r="C104" s="146"/>
      <c r="D104" s="146"/>
      <c r="E104" s="146"/>
    </row>
    <row r="105" spans="1:5" x14ac:dyDescent="0.35">
      <c r="A105" s="17" t="s">
        <v>22</v>
      </c>
      <c r="B105" s="18" t="s">
        <v>0</v>
      </c>
      <c r="C105" s="18" t="s">
        <v>1</v>
      </c>
      <c r="D105" s="18" t="s">
        <v>187</v>
      </c>
      <c r="E105" s="16" t="s">
        <v>188</v>
      </c>
    </row>
    <row r="106" spans="1:5" x14ac:dyDescent="0.35">
      <c r="A106" s="26">
        <v>282022</v>
      </c>
      <c r="B106" s="46" t="str">
        <f>IF(A106="","",VLOOKUP(A106,'STOCK CONTROL SHEET'!Details,2,FALSE))</f>
        <v>Air Freshener</v>
      </c>
      <c r="C106" s="46" t="str">
        <f>IF(A106="","",VLOOKUP(A106,'STOCK CONTROL SHEET'!Details,3,FALSE))</f>
        <v>NO</v>
      </c>
      <c r="D106" s="46">
        <f>INDEX(MAINT.STOREPRIMARY,MATCH('STORE PERFORMANCE'!A106,MAINTMaterialNo,0),9)</f>
        <v>14</v>
      </c>
      <c r="E106" s="47" t="str">
        <f>INDEX(MAINT.STOREPRIMARY,MATCH('STORE PERFORMANCE'!A106,MAINTMaterialNo,0),10)</f>
        <v/>
      </c>
    </row>
    <row r="107" spans="1:5" x14ac:dyDescent="0.35">
      <c r="A107" s="26">
        <v>282018</v>
      </c>
      <c r="B107" s="46" t="str">
        <f>IF(A107="","",VLOOKUP(A107,'STOCK CONTROL SHEET'!Details,2,FALSE))</f>
        <v>Bar Soaps</v>
      </c>
      <c r="C107" s="46" t="str">
        <f>IF(A107="","",VLOOKUP(A107,'STOCK CONTROL SHEET'!Details,3,FALSE))</f>
        <v>PCS</v>
      </c>
      <c r="D107" s="46" t="str">
        <f>INDEX(MAINT.STOREPRIMARY,MATCH('STORE PERFORMANCE'!A107,MAINTMaterialNo,0),9)</f>
        <v/>
      </c>
      <c r="E107" s="47">
        <f>INDEX(MAINT.STOREPRIMARY,MATCH('STORE PERFORMANCE'!A107,MAINTMaterialNo,0),10)</f>
        <v>25</v>
      </c>
    </row>
    <row r="108" spans="1:5" x14ac:dyDescent="0.35">
      <c r="A108" s="26">
        <v>252014</v>
      </c>
      <c r="B108" s="46" t="str">
        <f>IF(A108="","",VLOOKUP(A108,'STOCK CONTROL SHEET'!Details,2,FALSE))</f>
        <v>4-Way Extension Socket</v>
      </c>
      <c r="C108" s="46" t="str">
        <f>IF(A108="","",VLOOKUP(A108,'STOCK CONTROL SHEET'!Details,3,FALSE))</f>
        <v>NO</v>
      </c>
      <c r="D108" s="46">
        <f>INDEX(MAINT.STOREPRIMARY,MATCH('STORE PERFORMANCE'!A108,MAINTMaterialNo,0),9)</f>
        <v>7</v>
      </c>
      <c r="E108" s="47" t="str">
        <f>INDEX(MAINT.STOREPRIMARY,MATCH('STORE PERFORMANCE'!A108,MAINTMaterialNo,0),10)</f>
        <v/>
      </c>
    </row>
    <row r="109" spans="1:5" x14ac:dyDescent="0.35">
      <c r="A109" s="26">
        <v>252015</v>
      </c>
      <c r="B109" s="46" t="str">
        <f>IF(A109="","",VLOOKUP(A109,'STOCK CONTROL SHEET'!Details,2,FALSE))</f>
        <v>Single Socket</v>
      </c>
      <c r="C109" s="46" t="str">
        <f>IF(A109="","",VLOOKUP(A109,'STOCK CONTROL SHEET'!Details,3,FALSE))</f>
        <v>NO</v>
      </c>
      <c r="D109" s="46" t="str">
        <f>INDEX(MAINT.STOREPRIMARY,MATCH('STORE PERFORMANCE'!A109,MAINTMaterialNo,0),9)</f>
        <v/>
      </c>
      <c r="E109" s="47" t="str">
        <f>INDEX(MAINT.STOREPRIMARY,MATCH('STORE PERFORMANCE'!A109,MAINTMaterialNo,0),10)</f>
        <v/>
      </c>
    </row>
    <row r="110" spans="1:5" x14ac:dyDescent="0.35">
      <c r="A110" s="26">
        <v>100</v>
      </c>
      <c r="B110" s="46" t="str">
        <f>IF(A110="","",VLOOKUP(A110,'STOCK CONTROL SHEET'!Details,2,FALSE))</f>
        <v>40 Amp Tap of Unit</v>
      </c>
      <c r="C110" s="46" t="str">
        <f>IF(A110="","",VLOOKUP(A110,'STOCK CONTROL SHEET'!Details,3,FALSE))</f>
        <v>NO</v>
      </c>
      <c r="D110" s="46" t="str">
        <f>INDEX(MAINT.STOREPRIMARY,MATCH('STORE PERFORMANCE'!A110,MAINTMaterialNo,0),9)</f>
        <v/>
      </c>
      <c r="E110" s="47" t="str">
        <f>INDEX(MAINT.STOREPRIMARY,MATCH('STORE PERFORMANCE'!A110,MAINTMaterialNo,0),10)</f>
        <v/>
      </c>
    </row>
    <row r="111" spans="1:5" x14ac:dyDescent="0.35">
      <c r="A111" s="26">
        <v>101</v>
      </c>
      <c r="B111" s="46" t="str">
        <f>IF(A111="","",VLOOKUP(A111,'STOCK CONTROL SHEET'!Details,2,FALSE))</f>
        <v>Blower</v>
      </c>
      <c r="C111" s="46" t="str">
        <f>IF(A111="","",VLOOKUP(A111,'STOCK CONTROL SHEET'!Details,3,FALSE))</f>
        <v>NO</v>
      </c>
      <c r="D111" s="46" t="str">
        <f>INDEX(MAINT.STOREPRIMARY,MATCH('STORE PERFORMANCE'!A111,MAINTMaterialNo,0),9)</f>
        <v/>
      </c>
      <c r="E111" s="47" t="str">
        <f>INDEX(MAINT.STOREPRIMARY,MATCH('STORE PERFORMANCE'!A111,MAINTMaterialNo,0),10)</f>
        <v/>
      </c>
    </row>
    <row r="112" spans="1:5" x14ac:dyDescent="0.35">
      <c r="A112" s="26">
        <v>252040</v>
      </c>
      <c r="B112" s="46" t="str">
        <f>IF(A112="","",VLOOKUP(A112,'STOCK CONTROL SHEET'!Details,2,FALSE))</f>
        <v>Chokes 4/6/8</v>
      </c>
      <c r="C112" s="46" t="str">
        <f>IF(A112="","",VLOOKUP(A112,'STOCK CONTROL SHEET'!Details,3,FALSE))</f>
        <v>NO</v>
      </c>
      <c r="D112" s="46" t="str">
        <f>INDEX(MAINT.STOREPRIMARY,MATCH('STORE PERFORMANCE'!A112,MAINTMaterialNo,0),9)</f>
        <v/>
      </c>
      <c r="E112" s="47" t="str">
        <f>INDEX(MAINT.STOREPRIMARY,MATCH('STORE PERFORMANCE'!A112,MAINTMaterialNo,0),10)</f>
        <v/>
      </c>
    </row>
    <row r="113" spans="1:5" x14ac:dyDescent="0.35">
      <c r="A113" s="26">
        <v>272002</v>
      </c>
      <c r="B113" s="46" t="str">
        <f>IF(A113="","",VLOOKUP(A113,'STOCK CONTROL SHEET'!Details,2,FALSE))</f>
        <v>Disposable Gloves</v>
      </c>
      <c r="C113" s="46" t="str">
        <f>IF(A113="","",VLOOKUP(A113,'STOCK CONTROL SHEET'!Details,3,FALSE))</f>
        <v>PAIRS</v>
      </c>
      <c r="D113" s="46">
        <f>INDEX(MAINT.STOREPRIMARY,MATCH('STORE PERFORMANCE'!A113,MAINTMaterialNo,0),9)</f>
        <v>177</v>
      </c>
      <c r="E113" s="47" t="str">
        <f>INDEX(MAINT.STOREPRIMARY,MATCH('STORE PERFORMANCE'!A113,MAINTMaterialNo,0),10)</f>
        <v/>
      </c>
    </row>
    <row r="114" spans="1:5" x14ac:dyDescent="0.35">
      <c r="A114" s="26">
        <v>252028</v>
      </c>
      <c r="B114" s="46" t="str">
        <f>IF(A114="","",VLOOKUP(A114,'STOCK CONTROL SHEET'!Details,2,FALSE))</f>
        <v>Door Closer</v>
      </c>
      <c r="C114" s="46" t="str">
        <f>IF(A114="","",VLOOKUP(A114,'STOCK CONTROL SHEET'!Details,3,FALSE))</f>
        <v>NO</v>
      </c>
      <c r="D114" s="46" t="str">
        <f>INDEX(MAINT.STOREPRIMARY,MATCH('STORE PERFORMANCE'!A114,MAINTMaterialNo,0),9)</f>
        <v/>
      </c>
      <c r="E114" s="47" t="str">
        <f>INDEX(MAINT.STOREPRIMARY,MATCH('STORE PERFORMANCE'!A114,MAINTMaterialNo,0),10)</f>
        <v/>
      </c>
    </row>
    <row r="115" spans="1:5" x14ac:dyDescent="0.35">
      <c r="A115" s="26">
        <v>105</v>
      </c>
      <c r="B115" s="46" t="str">
        <f>IF(A115="","",VLOOKUP(A115,'STOCK CONTROL SHEET'!Details,2,FALSE))</f>
        <v>Data Cabinet</v>
      </c>
      <c r="C115" s="46" t="str">
        <f>IF(A115="","",VLOOKUP(A115,'STOCK CONTROL SHEET'!Details,3,FALSE))</f>
        <v>NO</v>
      </c>
      <c r="D115" s="46" t="e">
        <f>INDEX(MAINT.STOREPRIMARY,MATCH('STORE PERFORMANCE'!A115,MAINTMaterialNo,0),9)</f>
        <v>#VALUE!</v>
      </c>
      <c r="E115" s="47" t="e">
        <f>INDEX(MAINT.STOREPRIMARY,MATCH('STORE PERFORMANCE'!A115,MAINTMaterialNo,0),10)</f>
        <v>#VALUE!</v>
      </c>
    </row>
    <row r="116" spans="1:5" x14ac:dyDescent="0.35">
      <c r="A116" s="26">
        <v>282030</v>
      </c>
      <c r="B116" s="46" t="str">
        <f>IF(A116="","",VLOOKUP(A116,'STOCK CONTROL SHEET'!Details,2,FALSE))</f>
        <v>Duster Washing Pads</v>
      </c>
      <c r="C116" s="46" t="str">
        <f>IF(A116="","",VLOOKUP(A116,'STOCK CONTROL SHEET'!Details,3,FALSE))</f>
        <v>NO</v>
      </c>
      <c r="D116" s="46" t="str">
        <f>INDEX(MAINT.STOREPRIMARY,MATCH('STORE PERFORMANCE'!A116,MAINTMaterialNo,0),9)</f>
        <v/>
      </c>
      <c r="E116" s="47" t="str">
        <f>INDEX(MAINT.STOREPRIMARY,MATCH('STORE PERFORMANCE'!A116,MAINTMaterialNo,0),10)</f>
        <v/>
      </c>
    </row>
    <row r="117" spans="1:5" x14ac:dyDescent="0.35">
      <c r="A117" s="26">
        <v>252001</v>
      </c>
      <c r="B117" s="46" t="str">
        <f>IF(A117="","",VLOOKUP(A117,'STOCK CONTROL SHEET'!Details,2,FALSE))</f>
        <v>Aluminium Door Locks</v>
      </c>
      <c r="C117" s="46" t="str">
        <f>IF(A117="","",VLOOKUP(A117,'STOCK CONTROL SHEET'!Details,3,FALSE))</f>
        <v>NO</v>
      </c>
      <c r="D117" s="46" t="str">
        <f>INDEX(MAINT.STOREPRIMARY,MATCH('STORE PERFORMANCE'!A117,MAINTMaterialNo,0),9)</f>
        <v/>
      </c>
      <c r="E117" s="47" t="str">
        <f>INDEX(MAINT.STOREPRIMARY,MATCH('STORE PERFORMANCE'!A117,MAINTMaterialNo,0),10)</f>
        <v/>
      </c>
    </row>
    <row r="118" spans="1:5" x14ac:dyDescent="0.35">
      <c r="A118" s="26">
        <v>108</v>
      </c>
      <c r="B118" s="46" t="str">
        <f>IF(A118="","",VLOOKUP(A118,'STOCK CONTROL SHEET'!Details,2,FALSE))</f>
        <v>Flash Handles</v>
      </c>
      <c r="C118" s="46" t="str">
        <f>IF(A118="","",VLOOKUP(A118,'STOCK CONTROL SHEET'!Details,3,FALSE))</f>
        <v>NO</v>
      </c>
      <c r="D118" s="46" t="str">
        <f>INDEX(MAINT.STOREPRIMARY,MATCH('STORE PERFORMANCE'!A118,MAINTMaterialNo,0),9)</f>
        <v/>
      </c>
      <c r="E118" s="47" t="str">
        <f>INDEX(MAINT.STOREPRIMARY,MATCH('STORE PERFORMANCE'!A118,MAINTMaterialNo,0),10)</f>
        <v/>
      </c>
    </row>
    <row r="119" spans="1:5" x14ac:dyDescent="0.35">
      <c r="A119" s="26">
        <v>252042</v>
      </c>
      <c r="B119" s="46" t="str">
        <f>IF(A119="","",VLOOKUP(A119,'STOCK CONTROL SHEET'!Details,2,FALSE))</f>
        <v>2-feet LED Tubes</v>
      </c>
      <c r="C119" s="46" t="str">
        <f>IF(A119="","",VLOOKUP(A119,'STOCK CONTROL SHEET'!Details,3,FALSE))</f>
        <v>NO</v>
      </c>
      <c r="D119" s="46" t="str">
        <f>INDEX(MAINT.STOREPRIMARY,MATCH('STORE PERFORMANCE'!A119,MAINTMaterialNo,0),9)</f>
        <v/>
      </c>
      <c r="E119" s="47">
        <f>INDEX(MAINT.STOREPRIMARY,MATCH('STORE PERFORMANCE'!A119,MAINTMaterialNo,0),10)</f>
        <v>175</v>
      </c>
    </row>
    <row r="120" spans="1:5" x14ac:dyDescent="0.35">
      <c r="A120" s="26">
        <v>252006</v>
      </c>
      <c r="B120" s="46" t="str">
        <f>IF(A120="","",VLOOKUP(A120,'STOCK CONTROL SHEET'!Details,2,FALSE))</f>
        <v>2-feet Flourescent Tubes</v>
      </c>
      <c r="C120" s="46" t="str">
        <f>IF(A120="","",VLOOKUP(A120,'STOCK CONTROL SHEET'!Details,3,FALSE))</f>
        <v>NO</v>
      </c>
      <c r="D120" s="46" t="str">
        <f>INDEX(MAINT.STOREPRIMARY,MATCH('STORE PERFORMANCE'!A120,MAINTMaterialNo,0),9)</f>
        <v/>
      </c>
      <c r="E120" s="47">
        <f>INDEX(MAINT.STOREPRIMARY,MATCH('STORE PERFORMANCE'!A120,MAINTMaterialNo,0),10)</f>
        <v>126</v>
      </c>
    </row>
    <row r="121" spans="1:5" x14ac:dyDescent="0.35">
      <c r="A121" s="26">
        <v>282040</v>
      </c>
      <c r="B121" s="46" t="str">
        <f>IF(A121="","",VLOOKUP(A121,'STOCK CONTROL SHEET'!Details,2,FALSE))</f>
        <v>4-feet LED Tubes</v>
      </c>
      <c r="C121" s="46" t="str">
        <f>IF(A121="","",VLOOKUP(A121,'STOCK CONTROL SHEET'!Details,3,FALSE))</f>
        <v>NO</v>
      </c>
      <c r="D121" s="46" t="str">
        <f>INDEX(MAINT.STOREPRIMARY,MATCH('STORE PERFORMANCE'!A121,MAINTMaterialNo,0),9)</f>
        <v/>
      </c>
      <c r="E121" s="47">
        <f>INDEX(MAINT.STOREPRIMARY,MATCH('STORE PERFORMANCE'!A121,MAINTMaterialNo,0),10)</f>
        <v>57</v>
      </c>
    </row>
    <row r="122" spans="1:5" x14ac:dyDescent="0.35">
      <c r="A122" s="26">
        <v>252004</v>
      </c>
      <c r="B122" s="46" t="str">
        <f>IF(A122="","",VLOOKUP(A122,'STOCK CONTROL SHEET'!Details,2,FALSE))</f>
        <v>4-feet Flourescent Tubes</v>
      </c>
      <c r="C122" s="46" t="str">
        <f>IF(A122="","",VLOOKUP(A122,'STOCK CONTROL SHEET'!Details,3,FALSE))</f>
        <v>NO</v>
      </c>
      <c r="D122" s="46" t="str">
        <f>INDEX(MAINT.STOREPRIMARY,MATCH('STORE PERFORMANCE'!A122,MAINTMaterialNo,0),9)</f>
        <v/>
      </c>
      <c r="E122" s="47">
        <f>INDEX(MAINT.STOREPRIMARY,MATCH('STORE PERFORMANCE'!A122,MAINTMaterialNo,0),10)</f>
        <v>361</v>
      </c>
    </row>
    <row r="123" spans="1:5" x14ac:dyDescent="0.35">
      <c r="A123" s="26">
        <v>113</v>
      </c>
      <c r="B123" s="46" t="str">
        <f>IF(A123="","",VLOOKUP(A123,'STOCK CONTROL SHEET'!Details,2,FALSE))</f>
        <v>5-feet Flourescent Fittings</v>
      </c>
      <c r="C123" s="46" t="str">
        <f>IF(A123="","",VLOOKUP(A123,'STOCK CONTROL SHEET'!Details,3,FALSE))</f>
        <v>NO</v>
      </c>
      <c r="D123" s="46">
        <f>INDEX(MAINT.STOREPRIMARY,MATCH('STORE PERFORMANCE'!A123,MAINTMaterialNo,0),9)</f>
        <v>8</v>
      </c>
      <c r="E123" s="47" t="str">
        <f>INDEX(MAINT.STOREPRIMARY,MATCH('STORE PERFORMANCE'!A123,MAINTMaterialNo,0),10)</f>
        <v/>
      </c>
    </row>
    <row r="124" spans="1:5" x14ac:dyDescent="0.35">
      <c r="A124" s="26">
        <v>252005</v>
      </c>
      <c r="B124" s="46" t="str">
        <f>IF(A124="","",VLOOKUP(A124,'STOCK CONTROL SHEET'!Details,2,FALSE))</f>
        <v>5-feet Flourescent Tubes</v>
      </c>
      <c r="C124" s="46" t="str">
        <f>IF(A124="","",VLOOKUP(A124,'STOCK CONTROL SHEET'!Details,3,FALSE))</f>
        <v>NO</v>
      </c>
      <c r="D124" s="46">
        <f>INDEX(MAINT.STOREPRIMARY,MATCH('STORE PERFORMANCE'!A124,MAINTMaterialNo,0),9)</f>
        <v>2</v>
      </c>
      <c r="E124" s="47" t="str">
        <f>INDEX(MAINT.STOREPRIMARY,MATCH('STORE PERFORMANCE'!A124,MAINTMaterialNo,0),10)</f>
        <v/>
      </c>
    </row>
    <row r="125" spans="1:5" x14ac:dyDescent="0.35">
      <c r="A125" s="26">
        <v>115</v>
      </c>
      <c r="B125" s="46" t="str">
        <f>IF(A125="","",VLOOKUP(A125,'STOCK CONTROL SHEET'!Details,2,FALSE))</f>
        <v>Conduit 32mm Flexible Wire</v>
      </c>
      <c r="C125" s="46" t="str">
        <f>IF(A125="","",VLOOKUP(A125,'STOCK CONTROL SHEET'!Details,3,FALSE))</f>
        <v>NO</v>
      </c>
      <c r="D125" s="46" t="str">
        <f>INDEX(MAINT.STOREPRIMARY,MATCH('STORE PERFORMANCE'!A125,MAINTMaterialNo,0),9)</f>
        <v/>
      </c>
      <c r="E125" s="47" t="str">
        <f>INDEX(MAINT.STOREPRIMARY,MATCH('STORE PERFORMANCE'!A125,MAINTMaterialNo,0),10)</f>
        <v/>
      </c>
    </row>
    <row r="126" spans="1:5" x14ac:dyDescent="0.35">
      <c r="A126" s="26">
        <v>262012</v>
      </c>
      <c r="B126" s="46" t="str">
        <f>IF(A126="","",VLOOKUP(A126,'STOCK CONTROL SHEET'!Details,2,FALSE))</f>
        <v>PL 9 Flourescent Tubes</v>
      </c>
      <c r="C126" s="46" t="str">
        <f>IF(A126="","",VLOOKUP(A126,'STOCK CONTROL SHEET'!Details,3,FALSE))</f>
        <v>NO</v>
      </c>
      <c r="D126" s="46" t="str">
        <f>INDEX(MAINT.STOREPRIMARY,MATCH('STORE PERFORMANCE'!A126,MAINTMaterialNo,0),9)</f>
        <v/>
      </c>
      <c r="E126" s="47" t="str">
        <f>INDEX(MAINT.STOREPRIMARY,MATCH('STORE PERFORMANCE'!A126,MAINTMaterialNo,0),10)</f>
        <v/>
      </c>
    </row>
    <row r="127" spans="1:5" x14ac:dyDescent="0.35">
      <c r="A127" s="30">
        <v>282017</v>
      </c>
      <c r="B127" s="46" t="str">
        <f>IF(A127="","",VLOOKUP(A127,'STOCK CONTROL SHEET'!Details,2,FALSE))</f>
        <v>Liquid Detergent</v>
      </c>
      <c r="C127" s="46" t="str">
        <f>IF(A127="","",VLOOKUP(A127,'STOCK CONTROL SHEET'!Details,3,FALSE))</f>
        <v>EA</v>
      </c>
      <c r="D127" s="46">
        <f>INDEX(MAINT.STOREPRIMARY,MATCH('STORE PERFORMANCE'!A127,MAINTMaterialNo,0),9)</f>
        <v>10</v>
      </c>
      <c r="E127" s="47" t="str">
        <f>INDEX(MAINT.STOREPRIMARY,MATCH('STORE PERFORMANCE'!A127,MAINTMaterialNo,0),10)</f>
        <v/>
      </c>
    </row>
    <row r="128" spans="1:5" x14ac:dyDescent="0.35">
      <c r="A128" s="30">
        <v>282035</v>
      </c>
      <c r="B128" s="46" t="str">
        <f>IF(A128="","",VLOOKUP(A128,'STOCK CONTROL SHEET'!Details,2,FALSE))</f>
        <v>Pledge Spray</v>
      </c>
      <c r="C128" s="46" t="str">
        <f>IF(A128="","",VLOOKUP(A128,'STOCK CONTROL SHEET'!Details,3,FALSE))</f>
        <v>EA</v>
      </c>
      <c r="D128" s="46">
        <f>INDEX(MAINT.STOREPRIMARY,MATCH('STORE PERFORMANCE'!A128,MAINTMaterialNo,0),9)</f>
        <v>2</v>
      </c>
      <c r="E128" s="47" t="str">
        <f>INDEX(MAINT.STOREPRIMARY,MATCH('STORE PERFORMANCE'!A128,MAINTMaterialNo,0),10)</f>
        <v/>
      </c>
    </row>
    <row r="129" spans="1:5" x14ac:dyDescent="0.35">
      <c r="A129" s="26">
        <v>282026</v>
      </c>
      <c r="B129" s="46" t="str">
        <f>IF(A129="","",VLOOKUP(A129,'STOCK CONTROL SHEET'!Details,2,FALSE))</f>
        <v>Floor Dusters</v>
      </c>
      <c r="C129" s="46" t="str">
        <f>IF(A129="","",VLOOKUP(A129,'STOCK CONTROL SHEET'!Details,3,FALSE))</f>
        <v>NO</v>
      </c>
      <c r="D129" s="46">
        <f>INDEX(MAINT.STOREPRIMARY,MATCH('STORE PERFORMANCE'!A129,MAINTMaterialNo,0),9)</f>
        <v>7</v>
      </c>
      <c r="E129" s="47" t="str">
        <f>INDEX(MAINT.STOREPRIMARY,MATCH('STORE PERFORMANCE'!A129,MAINTMaterialNo,0),10)</f>
        <v/>
      </c>
    </row>
    <row r="130" spans="1:5" x14ac:dyDescent="0.35">
      <c r="A130" s="26">
        <v>272003</v>
      </c>
      <c r="B130" s="46" t="str">
        <f>IF(A130="","",VLOOKUP(A130,'STOCK CONTROL SHEET'!Details,2,FALSE))</f>
        <v>Hand Gloves</v>
      </c>
      <c r="C130" s="46" t="str">
        <f>IF(A130="","",VLOOKUP(A130,'STOCK CONTROL SHEET'!Details,3,FALSE))</f>
        <v>PCS</v>
      </c>
      <c r="D130" s="46" t="str">
        <f>INDEX(MAINT.STOREPRIMARY,MATCH('STORE PERFORMANCE'!A130,MAINTMaterialNo,0),9)</f>
        <v/>
      </c>
      <c r="E130" s="47">
        <f>INDEX(MAINT.STOREPRIMARY,MATCH('STORE PERFORMANCE'!A130,MAINTMaterialNo,0),10)</f>
        <v>5</v>
      </c>
    </row>
    <row r="131" spans="1:5" x14ac:dyDescent="0.35">
      <c r="A131" s="26">
        <v>282024</v>
      </c>
      <c r="B131" s="46" t="str">
        <f>IF(A131="","",VLOOKUP(A131,'STOCK CONTROL SHEET'!Details,2,FALSE))</f>
        <v>Harpic</v>
      </c>
      <c r="C131" s="46" t="str">
        <f>IF(A131="","",VLOOKUP(A131,'STOCK CONTROL SHEET'!Details,3,FALSE))</f>
        <v>NO</v>
      </c>
      <c r="D131" s="46">
        <f>INDEX(MAINT.STOREPRIMARY,MATCH('STORE PERFORMANCE'!A131,MAINTMaterialNo,0),9)</f>
        <v>3</v>
      </c>
      <c r="E131" s="47" t="str">
        <f>INDEX(MAINT.STOREPRIMARY,MATCH('STORE PERFORMANCE'!A131,MAINTMaterialNo,0),10)</f>
        <v/>
      </c>
    </row>
    <row r="132" spans="1:5" x14ac:dyDescent="0.35">
      <c r="A132" s="26">
        <v>120</v>
      </c>
      <c r="B132" s="46" t="str">
        <f>IF(A132="","",VLOOKUP(A132,'STOCK CONTROL SHEET'!Details,2,FALSE))</f>
        <v>Hand Drier</v>
      </c>
      <c r="C132" s="46" t="str">
        <f>IF(A132="","",VLOOKUP(A132,'STOCK CONTROL SHEET'!Details,3,FALSE))</f>
        <v>NO</v>
      </c>
      <c r="D132" s="46" t="str">
        <f>INDEX(MAINT.STOREPRIMARY,MATCH('STORE PERFORMANCE'!A132,MAINTMaterialNo,0),9)</f>
        <v/>
      </c>
      <c r="E132" s="47" t="str">
        <f>INDEX(MAINT.STOREPRIMARY,MATCH('STORE PERFORMANCE'!A132,MAINTMaterialNo,0),10)</f>
        <v/>
      </c>
    </row>
    <row r="133" spans="1:5" x14ac:dyDescent="0.35">
      <c r="A133" s="26">
        <v>252000</v>
      </c>
      <c r="B133" s="46" t="str">
        <f>IF(A133="","",VLOOKUP(A133,'STOCK CONTROL SHEET'!Details,2,FALSE))</f>
        <v>Mortice Locks (Union)</v>
      </c>
      <c r="C133" s="46" t="str">
        <f>IF(A133="","",VLOOKUP(A133,'STOCK CONTROL SHEET'!Details,3,FALSE))</f>
        <v>NO</v>
      </c>
      <c r="D133" s="46">
        <f>INDEX(MAINT.STOREPRIMARY,MATCH('STORE PERFORMANCE'!A133,MAINTMaterialNo,0),9)</f>
        <v>5</v>
      </c>
      <c r="E133" s="47" t="str">
        <f>INDEX(MAINT.STOREPRIMARY,MATCH('STORE PERFORMANCE'!A133,MAINTMaterialNo,0),10)</f>
        <v/>
      </c>
    </row>
    <row r="134" spans="1:5" x14ac:dyDescent="0.35">
      <c r="A134" s="26">
        <v>282015</v>
      </c>
      <c r="B134" s="46" t="str">
        <f>IF(A134="","",VLOOKUP(A134,'STOCK CONTROL SHEET'!Details,2,FALSE))</f>
        <v>Mutton Cloth</v>
      </c>
      <c r="C134" s="46" t="str">
        <f>IF(A134="","",VLOOKUP(A134,'STOCK CONTROL SHEET'!Details,3,FALSE))</f>
        <v>NO</v>
      </c>
      <c r="D134" s="46">
        <f>INDEX(MAINT.STOREPRIMARY,MATCH('STORE PERFORMANCE'!A134,MAINTMaterialNo,0),9)</f>
        <v>2</v>
      </c>
      <c r="E134" s="47" t="str">
        <f>INDEX(MAINT.STOREPRIMARY,MATCH('STORE PERFORMANCE'!A134,MAINTMaterialNo,0),10)</f>
        <v/>
      </c>
    </row>
    <row r="135" spans="1:5" x14ac:dyDescent="0.35">
      <c r="A135" s="26">
        <v>282029</v>
      </c>
      <c r="B135" s="46" t="str">
        <f>IF(A135="","",VLOOKUP(A135,'STOCK CONTROL SHEET'!Details,2,FALSE))</f>
        <v>Mop Dusters</v>
      </c>
      <c r="C135" s="46" t="str">
        <f>IF(A135="","",VLOOKUP(A135,'STOCK CONTROL SHEET'!Details,3,FALSE))</f>
        <v>NO</v>
      </c>
      <c r="D135" s="46">
        <f>INDEX(MAINT.STOREPRIMARY,MATCH('STORE PERFORMANCE'!A135,MAINTMaterialNo,0),9)</f>
        <v>21</v>
      </c>
      <c r="E135" s="47" t="str">
        <f>INDEX(MAINT.STOREPRIMARY,MATCH('STORE PERFORMANCE'!A135,MAINTMaterialNo,0),10)</f>
        <v/>
      </c>
    </row>
    <row r="136" spans="1:5" x14ac:dyDescent="0.35">
      <c r="A136" s="26">
        <v>252041</v>
      </c>
      <c r="B136" s="46" t="str">
        <f>IF(A136="","",VLOOKUP(A136,'STOCK CONTROL SHEET'!Details,2,FALSE))</f>
        <v>S-2 Starters</v>
      </c>
      <c r="C136" s="46" t="str">
        <f>IF(A136="","",VLOOKUP(A136,'STOCK CONTROL SHEET'!Details,3,FALSE))</f>
        <v>NO</v>
      </c>
      <c r="D136" s="46" t="str">
        <f>INDEX(MAINT.STOREPRIMARY,MATCH('STORE PERFORMANCE'!A136,MAINTMaterialNo,0),9)</f>
        <v/>
      </c>
      <c r="E136" s="47" t="str">
        <f>INDEX(MAINT.STOREPRIMARY,MATCH('STORE PERFORMANCE'!A136,MAINTMaterialNo,0),10)</f>
        <v/>
      </c>
    </row>
    <row r="137" spans="1:5" x14ac:dyDescent="0.35">
      <c r="A137" s="26">
        <v>282019</v>
      </c>
      <c r="B137" s="46" t="str">
        <f>IF(A137="","",VLOOKUP(A137,'STOCK CONTROL SHEET'!Details,2,FALSE))</f>
        <v>Super Brites</v>
      </c>
      <c r="C137" s="46" t="str">
        <f>IF(A137="","",VLOOKUP(A137,'STOCK CONTROL SHEET'!Details,3,FALSE))</f>
        <v>NO</v>
      </c>
      <c r="D137" s="46">
        <f>INDEX(MAINT.STOREPRIMARY,MATCH('STORE PERFORMANCE'!A137,MAINTMaterialNo,0),9)</f>
        <v>32</v>
      </c>
      <c r="E137" s="47" t="str">
        <f>INDEX(MAINT.STOREPRIMARY,MATCH('STORE PERFORMANCE'!A137,MAINTMaterialNo,0),10)</f>
        <v/>
      </c>
    </row>
    <row r="138" spans="1:5" x14ac:dyDescent="0.35">
      <c r="A138" s="26">
        <v>126</v>
      </c>
      <c r="B138" s="46" t="str">
        <f>IF(A138="","",VLOOKUP(A138,'STOCK CONTROL SHEET'!Details,2,FALSE))</f>
        <v>Snapper Frames</v>
      </c>
      <c r="C138" s="46" t="str">
        <f>IF(A138="","",VLOOKUP(A138,'STOCK CONTROL SHEET'!Details,3,FALSE))</f>
        <v>NO</v>
      </c>
      <c r="D138" s="46">
        <f>INDEX(MAINT.STOREPRIMARY,MATCH('STORE PERFORMANCE'!A138,MAINTMaterialNo,0),9)</f>
        <v>2</v>
      </c>
      <c r="E138" s="47" t="str">
        <f>INDEX(MAINT.STOREPRIMARY,MATCH('STORE PERFORMANCE'!A138,MAINTMaterialNo,0),10)</f>
        <v/>
      </c>
    </row>
    <row r="139" spans="1:5" x14ac:dyDescent="0.35">
      <c r="A139" s="26">
        <v>282020</v>
      </c>
      <c r="B139" s="46" t="str">
        <f>IF(A139="","",VLOOKUP(A139,'STOCK CONTROL SHEET'!Details,2,FALSE))</f>
        <v>Window Cleaner</v>
      </c>
      <c r="C139" s="46" t="str">
        <f>IF(A139="","",VLOOKUP(A139,'STOCK CONTROL SHEET'!Details,3,FALSE))</f>
        <v>NO</v>
      </c>
      <c r="D139" s="46">
        <f>INDEX(MAINT.STOREPRIMARY,MATCH('STORE PERFORMANCE'!A139,MAINTMaterialNo,0),9)</f>
        <v>20</v>
      </c>
      <c r="E139" s="47" t="str">
        <f>INDEX(MAINT.STOREPRIMARY,MATCH('STORE PERFORMANCE'!A139,MAINTMaterialNo,0),10)</f>
        <v/>
      </c>
    </row>
    <row r="140" spans="1:5" x14ac:dyDescent="0.35">
      <c r="A140" s="26">
        <v>252009</v>
      </c>
      <c r="B140" s="46" t="str">
        <f>IF(A140="","",VLOOKUP(A140,'STOCK CONTROL SHEET'!Details,2,FALSE))</f>
        <v>4-80 Watts Starters</v>
      </c>
      <c r="C140" s="46" t="str">
        <f>IF(A140="","",VLOOKUP(A140,'STOCK CONTROL SHEET'!Details,3,FALSE))</f>
        <v>NO</v>
      </c>
      <c r="D140" s="46" t="str">
        <f>INDEX(MAINT.STOREPRIMARY,MATCH('STORE PERFORMANCE'!A140,MAINTMaterialNo,0),9)</f>
        <v/>
      </c>
      <c r="E140" s="47">
        <f>INDEX(MAINT.STOREPRIMARY,MATCH('STORE PERFORMANCE'!A140,MAINTMaterialNo,0),10)</f>
        <v>226</v>
      </c>
    </row>
    <row r="141" spans="1:5" x14ac:dyDescent="0.35">
      <c r="A141" s="26">
        <v>252008</v>
      </c>
      <c r="B141" s="46" t="str">
        <f>IF(A141="","",VLOOKUP(A141,'STOCK CONTROL SHEET'!Details,2,FALSE))</f>
        <v>PL-36 Tubes</v>
      </c>
      <c r="C141" s="46" t="str">
        <f>IF(A141="","",VLOOKUP(A141,'STOCK CONTROL SHEET'!Details,3,FALSE))</f>
        <v>NO</v>
      </c>
      <c r="D141" s="46">
        <f>INDEX(MAINT.STOREPRIMARY,MATCH('STORE PERFORMANCE'!A141,MAINTMaterialNo,0),9)</f>
        <v>19</v>
      </c>
      <c r="E141" s="47" t="str">
        <f>INDEX(MAINT.STOREPRIMARY,MATCH('STORE PERFORMANCE'!A141,MAINTMaterialNo,0),10)</f>
        <v/>
      </c>
    </row>
    <row r="142" spans="1:5" x14ac:dyDescent="0.35">
      <c r="A142" s="26">
        <v>130</v>
      </c>
      <c r="B142" s="46" t="str">
        <f>IF(A142="","",VLOOKUP(A142,'STOCK CONTROL SHEET'!Details,2,FALSE))</f>
        <v>PVC Trunking</v>
      </c>
      <c r="C142" s="46" t="str">
        <f>IF(A142="","",VLOOKUP(A142,'STOCK CONTROL SHEET'!Details,3,FALSE))</f>
        <v>NO</v>
      </c>
      <c r="D142" s="46" t="str">
        <f>INDEX(MAINT.STOREPRIMARY,MATCH('STORE PERFORMANCE'!A142,MAINTMaterialNo,0),9)</f>
        <v/>
      </c>
      <c r="E142" s="47" t="str">
        <f>INDEX(MAINT.STOREPRIMARY,MATCH('STORE PERFORMANCE'!A142,MAINTMaterialNo,0),10)</f>
        <v/>
      </c>
    </row>
    <row r="143" spans="1:5" x14ac:dyDescent="0.35">
      <c r="A143" s="26">
        <v>131</v>
      </c>
      <c r="B143" s="46" t="str">
        <f>IF(A143="","",VLOOKUP(A143,'STOCK CONTROL SHEET'!Details,2,FALSE))</f>
        <v>Twin Sockets</v>
      </c>
      <c r="C143" s="46" t="str">
        <f>IF(A143="","",VLOOKUP(A143,'STOCK CONTROL SHEET'!Details,3,FALSE))</f>
        <v>NO</v>
      </c>
      <c r="D143" s="46" t="str">
        <f>INDEX(MAINT.STOREPRIMARY,MATCH('STORE PERFORMANCE'!A143,MAINTMaterialNo,0),9)</f>
        <v/>
      </c>
      <c r="E143" s="47" t="str">
        <f>INDEX(MAINT.STOREPRIMARY,MATCH('STORE PERFORMANCE'!A143,MAINTMaterialNo,0),10)</f>
        <v/>
      </c>
    </row>
    <row r="144" spans="1:5" x14ac:dyDescent="0.35">
      <c r="A144" s="26">
        <v>132</v>
      </c>
      <c r="B144" s="46" t="str">
        <f>IF(A144="","",VLOOKUP(A144,'STOCK CONTROL SHEET'!Details,2,FALSE))</f>
        <v>Slim Switch 10 Amps</v>
      </c>
      <c r="C144" s="46" t="str">
        <f>IF(A144="","",VLOOKUP(A144,'STOCK CONTROL SHEET'!Details,3,FALSE))</f>
        <v>NO</v>
      </c>
      <c r="D144" s="46" t="str">
        <f>INDEX(MAINT.STOREPRIMARY,MATCH('STORE PERFORMANCE'!A144,MAINTMaterialNo,0),9)</f>
        <v/>
      </c>
      <c r="E144" s="47" t="str">
        <f>INDEX(MAINT.STOREPRIMARY,MATCH('STORE PERFORMANCE'!A144,MAINTMaterialNo,0),10)</f>
        <v/>
      </c>
    </row>
    <row r="145" spans="1:5" x14ac:dyDescent="0.35">
      <c r="A145" s="26">
        <v>252022</v>
      </c>
      <c r="B145" s="46" t="str">
        <f>IF(A145="","",VLOOKUP(A145,'STOCK CONTROL SHEET'!Details,2,FALSE))</f>
        <v>40 Watts Chokes</v>
      </c>
      <c r="C145" s="46" t="str">
        <f>IF(A145="","",VLOOKUP(A145,'STOCK CONTROL SHEET'!Details,3,FALSE))</f>
        <v>NO</v>
      </c>
      <c r="D145" s="46" t="str">
        <f>INDEX(MAINT.STOREPRIMARY,MATCH('STORE PERFORMANCE'!A145,MAINTMaterialNo,0),9)</f>
        <v/>
      </c>
      <c r="E145" s="47" t="str">
        <f>INDEX(MAINT.STOREPRIMARY,MATCH('STORE PERFORMANCE'!A145,MAINTMaterialNo,0),10)</f>
        <v/>
      </c>
    </row>
    <row r="146" spans="1:5" x14ac:dyDescent="0.35">
      <c r="A146" s="26">
        <v>134</v>
      </c>
      <c r="B146" s="46" t="str">
        <f>IF(A146="","",VLOOKUP(A146,'STOCK CONTROL SHEET'!Details,2,FALSE))</f>
        <v>65 Watts Chokes</v>
      </c>
      <c r="C146" s="46" t="str">
        <f>IF(A146="","",VLOOKUP(A146,'STOCK CONTROL SHEET'!Details,3,FALSE))</f>
        <v>NO</v>
      </c>
      <c r="D146" s="46" t="str">
        <f>INDEX(MAINT.STOREPRIMARY,MATCH('STORE PERFORMANCE'!A146,MAINTMaterialNo,0),9)</f>
        <v/>
      </c>
      <c r="E146" s="47" t="str">
        <f>INDEX(MAINT.STOREPRIMARY,MATCH('STORE PERFORMANCE'!A146,MAINTMaterialNo,0),10)</f>
        <v/>
      </c>
    </row>
    <row r="147" spans="1:5" x14ac:dyDescent="0.35">
      <c r="A147" s="26">
        <v>252019</v>
      </c>
      <c r="B147" s="46" t="str">
        <f>IF(A147="","",VLOOKUP(A147,'STOCK CONTROL SHEET'!Details,2,FALSE))</f>
        <v>20 Watts Chokes</v>
      </c>
      <c r="C147" s="46" t="str">
        <f>IF(A147="","",VLOOKUP(A147,'STOCK CONTROL SHEET'!Details,3,FALSE))</f>
        <v>NO</v>
      </c>
      <c r="D147" s="46" t="str">
        <f>INDEX(MAINT.STOREPRIMARY,MATCH('STORE PERFORMANCE'!A147,MAINTMaterialNo,0),9)</f>
        <v/>
      </c>
      <c r="E147" s="47" t="str">
        <f>INDEX(MAINT.STOREPRIMARY,MATCH('STORE PERFORMANCE'!A147,MAINTMaterialNo,0),10)</f>
        <v/>
      </c>
    </row>
    <row r="148" spans="1:5" x14ac:dyDescent="0.35">
      <c r="A148" s="26">
        <v>136</v>
      </c>
      <c r="B148" s="46" t="str">
        <f>IF(A148="","",VLOOKUP(A148,'STOCK CONTROL SHEET'!Details,2,FALSE))</f>
        <v>2.5 mm PVC Single Core Cable</v>
      </c>
      <c r="C148" s="46" t="str">
        <f>IF(A148="","",VLOOKUP(A148,'STOCK CONTROL SHEET'!Details,3,FALSE))</f>
        <v>NO</v>
      </c>
      <c r="D148" s="46" t="str">
        <f>INDEX(MAINT.STOREPRIMARY,MATCH('STORE PERFORMANCE'!A148,MAINTMaterialNo,0),9)</f>
        <v/>
      </c>
      <c r="E148" s="47" t="str">
        <f>INDEX(MAINT.STOREPRIMARY,MATCH('STORE PERFORMANCE'!A148,MAINTMaterialNo,0),10)</f>
        <v/>
      </c>
    </row>
    <row r="149" spans="1:5" x14ac:dyDescent="0.35">
      <c r="A149" s="26">
        <v>282021</v>
      </c>
      <c r="B149" s="48" t="str">
        <f>IF(A149="","",VLOOKUP(A149,'STOCK CONTROL SHEET'!Details,2,FALSE))</f>
        <v>Vim Powder</v>
      </c>
      <c r="C149" s="48" t="str">
        <f>IF(A149="","",VLOOKUP(A149,'STOCK CONTROL SHEET'!Details,3,FALSE))</f>
        <v>NO</v>
      </c>
      <c r="D149" s="48">
        <f>INDEX(MAINT.STOREPRIMARY,MATCH('STORE PERFORMANCE'!A149,MAINTMaterialNo,0),9)</f>
        <v>15</v>
      </c>
      <c r="E149" s="49" t="str">
        <f>INDEX(MAINT.STOREPRIMARY,MATCH('STORE PERFORMANCE'!A149,MAINTMaterialNo,0),10)</f>
        <v/>
      </c>
    </row>
    <row r="150" spans="1:5" x14ac:dyDescent="0.35">
      <c r="A150" s="26">
        <v>282025</v>
      </c>
      <c r="B150" s="46" t="str">
        <f>IF(A150="","",VLOOKUP(A150,'STOCK CONTROL SHEET'!Details,2,FALSE))</f>
        <v>Toilet Brushes</v>
      </c>
      <c r="C150" s="46" t="str">
        <f>IF(A150="","",VLOOKUP(A150,'STOCK CONTROL SHEET'!Details,3,FALSE))</f>
        <v>NO</v>
      </c>
      <c r="D150" s="46">
        <f>INDEX(MAINT.STOREPRIMARY,MATCH('STORE PERFORMANCE'!A150,MAINTMaterialNo,0),9)</f>
        <v>1</v>
      </c>
      <c r="E150" s="47" t="str">
        <f>INDEX(MAINT.STOREPRIMARY,MATCH('STORE PERFORMANCE'!A150,MAINTMaterialNo,0),10)</f>
        <v/>
      </c>
    </row>
    <row r="151" spans="1:5" x14ac:dyDescent="0.35">
      <c r="A151" s="26">
        <v>252017</v>
      </c>
      <c r="B151" s="46" t="str">
        <f>IF(A151="","",VLOOKUP(A151,'STOCK CONTROL SHEET'!Details,2,FALSE))</f>
        <v>Toilet Seat Covers</v>
      </c>
      <c r="C151" s="46" t="str">
        <f>IF(A151="","",VLOOKUP(A151,'STOCK CONTROL SHEET'!Details,3,FALSE))</f>
        <v>NO</v>
      </c>
      <c r="D151" s="46" t="str">
        <f>INDEX(MAINT.STOREPRIMARY,MATCH('STORE PERFORMANCE'!A151,MAINTMaterialNo,0),9)</f>
        <v/>
      </c>
      <c r="E151" s="47">
        <f>INDEX(MAINT.STOREPRIMARY,MATCH('STORE PERFORMANCE'!A151,MAINTMaterialNo,0),10)</f>
        <v>2</v>
      </c>
    </row>
  </sheetData>
  <mergeCells count="5">
    <mergeCell ref="A104:E104"/>
    <mergeCell ref="G1:I1"/>
    <mergeCell ref="A1:E1"/>
    <mergeCell ref="A2:E2"/>
    <mergeCell ref="A39:E39"/>
  </mergeCells>
  <pageMargins left="0.7" right="0.7" top="0.75" bottom="0.75" header="0.3" footer="0.3"/>
  <pageSetup orientation="portrait" r:id="rId2"/>
  <drawing r:id="rId3"/>
  <tableParts count="4">
    <tablePart r:id="rId4"/>
    <tablePart r:id="rId5"/>
    <tablePart r:id="rId6"/>
    <tablePart r:id="rId7"/>
  </tableParts>
  <extLst>
    <ext xmlns:x14="http://schemas.microsoft.com/office/spreadsheetml/2009/9/main" uri="{A8765BA9-456A-4dab-B4F3-ACF838C121DE}">
      <x14:slicerList>
        <x14:slicer r:id="rId8"/>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tabColor theme="7" tint="-0.249977111117893"/>
  </sheetPr>
  <dimension ref="A1:N123"/>
  <sheetViews>
    <sheetView showGridLines="0" topLeftCell="A112" workbookViewId="0">
      <selection activeCell="D3" sqref="D3"/>
    </sheetView>
  </sheetViews>
  <sheetFormatPr defaultRowHeight="14.5" x14ac:dyDescent="0.35"/>
  <cols>
    <col min="1" max="1" width="13.81640625" customWidth="1"/>
    <col min="2" max="2" width="17.81640625" bestFit="1" customWidth="1"/>
    <col min="4" max="4" width="12.81640625" customWidth="1"/>
    <col min="5" max="5" width="37" bestFit="1" customWidth="1"/>
    <col min="6" max="6" width="9.1796875" customWidth="1"/>
    <col min="7" max="7" width="15.08984375" bestFit="1" customWidth="1"/>
    <col min="8" max="8" width="26.81640625" bestFit="1" customWidth="1"/>
    <col min="9" max="9" width="19.1796875" hidden="1" customWidth="1"/>
    <col min="10" max="10" width="18.453125" customWidth="1"/>
    <col min="11" max="11" width="24" bestFit="1" customWidth="1"/>
  </cols>
  <sheetData>
    <row r="1" spans="1:14" ht="18.5" x14ac:dyDescent="0.45">
      <c r="A1" s="150" t="s">
        <v>29</v>
      </c>
      <c r="B1" s="151"/>
      <c r="C1" s="151"/>
      <c r="D1" s="151"/>
      <c r="E1" s="151"/>
      <c r="F1" s="151"/>
      <c r="G1" s="151"/>
      <c r="H1" s="151"/>
      <c r="I1" s="151"/>
    </row>
    <row r="2" spans="1:14" ht="29" x14ac:dyDescent="0.35">
      <c r="A2" s="61" t="s">
        <v>17</v>
      </c>
      <c r="B2" s="60" t="s">
        <v>24</v>
      </c>
      <c r="C2" s="60" t="s">
        <v>18</v>
      </c>
      <c r="D2" s="60" t="s">
        <v>22</v>
      </c>
      <c r="E2" s="60" t="s">
        <v>0</v>
      </c>
      <c r="F2" s="60" t="s">
        <v>1</v>
      </c>
      <c r="G2" s="62" t="s">
        <v>27</v>
      </c>
      <c r="H2" s="63" t="s">
        <v>23</v>
      </c>
      <c r="I2" s="1" t="s">
        <v>28</v>
      </c>
    </row>
    <row r="3" spans="1:14" x14ac:dyDescent="0.35">
      <c r="A3" s="22">
        <v>45842</v>
      </c>
      <c r="B3" s="20">
        <v>490002787</v>
      </c>
      <c r="C3" s="20" t="s">
        <v>19</v>
      </c>
      <c r="D3" s="20">
        <v>100143</v>
      </c>
      <c r="E3" s="33" t="str">
        <f>IF(D3="","",VLOOKUP(D3,'STOCK CONTROL SHEET'!Details,2,FALSE))</f>
        <v>Laminating Pouches</v>
      </c>
      <c r="F3" s="33" t="str">
        <f>IF(D3="","",VLOOKUP(D3,'STOCK CONTROL SHEET'!Details,3,FALSE))</f>
        <v>PCS</v>
      </c>
      <c r="G3" s="21">
        <v>100</v>
      </c>
      <c r="H3" s="20" t="s">
        <v>253</v>
      </c>
      <c r="I3" s="41">
        <f>IF(UnitsTable[Type]="Receipt",(SUM(UnitsTable[[#This Row],[In&amp;Out Qty]])),(SUM(-INOUTQTY)))</f>
        <v>-100</v>
      </c>
    </row>
    <row r="4" spans="1:14" x14ac:dyDescent="0.35">
      <c r="A4" s="22">
        <v>45842</v>
      </c>
      <c r="B4" s="20">
        <v>4900027277</v>
      </c>
      <c r="C4" s="20" t="s">
        <v>19</v>
      </c>
      <c r="D4" s="20">
        <v>100220</v>
      </c>
      <c r="E4" s="33" t="str">
        <f>IF(D4="","",VLOOKUP(D4,'STOCK CONTROL SHEET'!Details,2,FALSE))</f>
        <v>Payment of Benefit Forms/004</v>
      </c>
      <c r="F4" s="33" t="str">
        <f>IF(D4="","",VLOOKUP(D4,'STOCK CONTROL SHEET'!Details,3,FALSE))</f>
        <v>PCS</v>
      </c>
      <c r="G4" s="20">
        <v>500</v>
      </c>
      <c r="H4" s="20" t="s">
        <v>254</v>
      </c>
      <c r="I4" s="50">
        <f>IF(UnitsTable[Type]="Receipt",(SUM(UnitsTable[[#This Row],[In&amp;Out Qty]])),(SUM(-INOUTQTY)))</f>
        <v>-500</v>
      </c>
      <c r="M4" t="s">
        <v>19</v>
      </c>
      <c r="N4" t="s">
        <v>16</v>
      </c>
    </row>
    <row r="5" spans="1:14" x14ac:dyDescent="0.35">
      <c r="A5" s="22">
        <v>45842</v>
      </c>
      <c r="B5" s="20">
        <v>4900027277</v>
      </c>
      <c r="C5" s="20" t="s">
        <v>19</v>
      </c>
      <c r="D5" s="20">
        <v>100139</v>
      </c>
      <c r="E5" s="33" t="str">
        <f>IF(D5="","",VLOOKUP(D5,'STOCK CONTROL SHEET'!Details,2,FALSE))</f>
        <v>App. For Employer SF/001</v>
      </c>
      <c r="F5" s="33" t="str">
        <f>IF(D5="","",VLOOKUP(D5,'STOCK CONTROL SHEET'!Details,3,FALSE))</f>
        <v>PCS</v>
      </c>
      <c r="G5" s="20">
        <v>500</v>
      </c>
      <c r="H5" s="20" t="s">
        <v>254</v>
      </c>
      <c r="I5" s="50">
        <f>IF(UnitsTable[Type]="Receipt",(SUM(UnitsTable[[#This Row],[In&amp;Out Qty]])),(SUM(-INOUTQTY)))</f>
        <v>-500</v>
      </c>
      <c r="M5" t="s">
        <v>20</v>
      </c>
      <c r="N5" t="s">
        <v>11</v>
      </c>
    </row>
    <row r="6" spans="1:14" x14ac:dyDescent="0.35">
      <c r="A6" s="22">
        <v>45842</v>
      </c>
      <c r="B6" s="20">
        <v>4900027277</v>
      </c>
      <c r="C6" s="20" t="s">
        <v>19</v>
      </c>
      <c r="D6" s="20">
        <v>100218</v>
      </c>
      <c r="E6" s="33" t="str">
        <f>IF(D6="","",VLOOKUP(D6,'STOCK CONTROL SHEET'!Details,2,FALSE))</f>
        <v>Ben. App. Forms SF/001</v>
      </c>
      <c r="F6" s="33" t="str">
        <f>IF(D6="","",VLOOKUP(D6,'STOCK CONTROL SHEET'!Details,3,FALSE))</f>
        <v>PCS</v>
      </c>
      <c r="G6" s="20">
        <v>300</v>
      </c>
      <c r="H6" s="20" t="s">
        <v>254</v>
      </c>
      <c r="I6" s="50">
        <f>IF(UnitsTable[Type]="Receipt",(SUM(UnitsTable[[#This Row],[In&amp;Out Qty]])),(SUM(-INOUTQTY)))</f>
        <v>-300</v>
      </c>
      <c r="M6" t="s">
        <v>21</v>
      </c>
      <c r="N6" t="s">
        <v>12</v>
      </c>
    </row>
    <row r="7" spans="1:14" x14ac:dyDescent="0.35">
      <c r="A7" s="22">
        <v>45842</v>
      </c>
      <c r="B7" s="20">
        <v>4900027277</v>
      </c>
      <c r="C7" s="20" t="s">
        <v>19</v>
      </c>
      <c r="D7" s="20">
        <v>100138</v>
      </c>
      <c r="E7" s="33" t="str">
        <f>IF(D7="","",VLOOKUP(D7,'STOCK CONTROL SHEET'!Details,2,FALSE))</f>
        <v>Fingerprint Forms SF/003</v>
      </c>
      <c r="F7" s="33" t="str">
        <f>IF(D7="","",VLOOKUP(D7,'STOCK CONTROL SHEET'!Details,3,FALSE))</f>
        <v>PCS</v>
      </c>
      <c r="G7" s="20">
        <v>500</v>
      </c>
      <c r="H7" s="20" t="s">
        <v>254</v>
      </c>
      <c r="I7" s="50">
        <f>IF(UnitsTable[Type]="Receipt",(SUM(UnitsTable[[#This Row],[In&amp;Out Qty]])),(SUM(-INOUTQTY)))</f>
        <v>-500</v>
      </c>
      <c r="N7" t="s">
        <v>14</v>
      </c>
    </row>
    <row r="8" spans="1:14" x14ac:dyDescent="0.35">
      <c r="A8" s="22">
        <v>45842</v>
      </c>
      <c r="B8" s="20">
        <v>4900027277</v>
      </c>
      <c r="C8" s="20" t="s">
        <v>19</v>
      </c>
      <c r="D8" s="20">
        <v>100145</v>
      </c>
      <c r="E8" s="33" t="str">
        <f>IF(D8="","",VLOOKUP(D8,'STOCK CONTROL SHEET'!Details,2,FALSE))</f>
        <v>Membership Cards (Blank)</v>
      </c>
      <c r="F8" s="33" t="str">
        <f>IF(D8="","",VLOOKUP(D8,'STOCK CONTROL SHEET'!Details,3,FALSE))</f>
        <v>PCS</v>
      </c>
      <c r="G8" s="20">
        <v>3000</v>
      </c>
      <c r="H8" s="20" t="s">
        <v>254</v>
      </c>
      <c r="I8" s="50">
        <f>IF(UnitsTable[Type]="Receipt",(SUM(UnitsTable[[#This Row],[In&amp;Out Qty]])),(SUM(-INOUTQTY)))</f>
        <v>-3000</v>
      </c>
      <c r="N8" t="s">
        <v>13</v>
      </c>
    </row>
    <row r="9" spans="1:14" x14ac:dyDescent="0.35">
      <c r="A9" s="22">
        <v>45842</v>
      </c>
      <c r="B9" s="20">
        <v>4900027277</v>
      </c>
      <c r="C9" s="20" t="s">
        <v>19</v>
      </c>
      <c r="D9" s="20">
        <v>100213</v>
      </c>
      <c r="E9" s="33" t="str">
        <f>IF(D9="","",VLOOKUP(D9,'STOCK CONTROL SHEET'!Details,2,FALSE))</f>
        <v>Schedule of Contribution</v>
      </c>
      <c r="F9" s="33" t="str">
        <f>IF(D9="","",VLOOKUP(D9,'STOCK CONTROL SHEET'!Details,3,FALSE))</f>
        <v>PCS</v>
      </c>
      <c r="G9" s="20">
        <v>1000</v>
      </c>
      <c r="H9" s="20" t="s">
        <v>254</v>
      </c>
      <c r="I9" s="50">
        <f>IF(UnitsTable[Type]="Receipt",(SUM(UnitsTable[[#This Row],[In&amp;Out Qty]])),(SUM(-INOUTQTY)))</f>
        <v>-1000</v>
      </c>
      <c r="N9" t="s">
        <v>10</v>
      </c>
    </row>
    <row r="10" spans="1:14" x14ac:dyDescent="0.35">
      <c r="A10" s="22">
        <v>45842</v>
      </c>
      <c r="B10" s="20">
        <v>4900027277</v>
      </c>
      <c r="C10" s="20" t="s">
        <v>19</v>
      </c>
      <c r="D10" s="20">
        <v>100211</v>
      </c>
      <c r="E10" s="33" t="str">
        <f>IF(D10="","",VLOOKUP(D10,'STOCK CONTROL SHEET'!Details,2,FALSE))</f>
        <v>Survivor Ben. Form</v>
      </c>
      <c r="F10" s="33" t="str">
        <f>IF(D10="","",VLOOKUP(D10,'STOCK CONTROL SHEET'!Details,3,FALSE))</f>
        <v>PCS</v>
      </c>
      <c r="G10" s="51">
        <v>100</v>
      </c>
      <c r="H10" s="20" t="s">
        <v>254</v>
      </c>
      <c r="I10" s="52">
        <f>IF(UnitsTable[Type]="Receipt",(SUM(UnitsTable[[#This Row],[In&amp;Out Qty]])),(SUM(-INOUTQTY)))</f>
        <v>-100</v>
      </c>
      <c r="N10" t="s">
        <v>15</v>
      </c>
    </row>
    <row r="11" spans="1:14" x14ac:dyDescent="0.35">
      <c r="A11" s="22">
        <v>45842</v>
      </c>
      <c r="B11" s="20">
        <v>4900027277</v>
      </c>
      <c r="C11" s="20" t="s">
        <v>19</v>
      </c>
      <c r="D11" s="20">
        <v>100220</v>
      </c>
      <c r="E11" s="33" t="str">
        <f>IF(D11="","",VLOOKUP(D11,'STOCK CONTROL SHEET'!Details,2,FALSE))</f>
        <v>Payment of Benefit Forms/004</v>
      </c>
      <c r="F11" s="33" t="str">
        <f>IF(D11="","",VLOOKUP(D11,'STOCK CONTROL SHEET'!Details,3,FALSE))</f>
        <v>PCS</v>
      </c>
      <c r="G11" s="51">
        <v>500</v>
      </c>
      <c r="H11" s="20" t="s">
        <v>254</v>
      </c>
      <c r="I11" s="52">
        <f>IF(UnitsTable[Type]="Receipt",(SUM(UnitsTable[[#This Row],[In&amp;Out Qty]])),(SUM(-INOUTQTY)))</f>
        <v>-500</v>
      </c>
      <c r="N11" t="s">
        <v>25</v>
      </c>
    </row>
    <row r="12" spans="1:14" x14ac:dyDescent="0.35">
      <c r="A12" s="65">
        <v>45842</v>
      </c>
      <c r="B12" s="66">
        <v>4900027282</v>
      </c>
      <c r="C12" s="20" t="s">
        <v>19</v>
      </c>
      <c r="D12" s="67">
        <v>100218</v>
      </c>
      <c r="E12" s="33" t="str">
        <f>IF(D12="","",VLOOKUP(D12,'STOCK CONTROL SHEET'!Details,2,FALSE))</f>
        <v>Ben. App. Forms SF/001</v>
      </c>
      <c r="F12" s="33" t="str">
        <f>IF(D12="","",VLOOKUP(D12,'STOCK CONTROL SHEET'!Details,3,FALSE))</f>
        <v>PCS</v>
      </c>
      <c r="G12" s="67">
        <v>500</v>
      </c>
      <c r="H12" s="67" t="s">
        <v>255</v>
      </c>
      <c r="I12" s="50">
        <f>IF(UnitsTable[Type]="Receipt",(SUM(UnitsTable[[#This Row],[In&amp;Out Qty]])),(SUM(-INOUTQTY)))</f>
        <v>-500</v>
      </c>
    </row>
    <row r="13" spans="1:14" x14ac:dyDescent="0.35">
      <c r="A13" s="65">
        <v>45842</v>
      </c>
      <c r="B13" s="66">
        <v>4900027282</v>
      </c>
      <c r="C13" s="20" t="s">
        <v>19</v>
      </c>
      <c r="D13" s="67">
        <v>100138</v>
      </c>
      <c r="E13" s="33" t="str">
        <f>IF(D13="","",VLOOKUP(D13,'STOCK CONTROL SHEET'!Details,2,FALSE))</f>
        <v>Fingerprint Forms SF/003</v>
      </c>
      <c r="F13" s="33" t="str">
        <f>IF(D13="","",VLOOKUP(D13,'STOCK CONTROL SHEET'!Details,3,FALSE))</f>
        <v>PCS</v>
      </c>
      <c r="G13" s="67">
        <v>500</v>
      </c>
      <c r="H13" s="67" t="s">
        <v>255</v>
      </c>
      <c r="I13" s="50">
        <f>IF(UnitsTable[Type]="Receipt",(SUM(UnitsTable[[#This Row],[In&amp;Out Qty]])),(SUM(-INOUTQTY)))</f>
        <v>-500</v>
      </c>
    </row>
    <row r="14" spans="1:14" x14ac:dyDescent="0.35">
      <c r="A14" s="65">
        <v>45842</v>
      </c>
      <c r="B14" s="66">
        <v>4900027282</v>
      </c>
      <c r="C14" s="20" t="s">
        <v>19</v>
      </c>
      <c r="D14" s="67">
        <v>100211</v>
      </c>
      <c r="E14" s="33" t="str">
        <f>IF(D14="","",VLOOKUP(D14,'STOCK CONTROL SHEET'!Details,2,FALSE))</f>
        <v>Survivor Ben. Form</v>
      </c>
      <c r="F14" s="33" t="str">
        <f>IF(D14="","",VLOOKUP(D14,'STOCK CONTROL SHEET'!Details,3,FALSE))</f>
        <v>PCS</v>
      </c>
      <c r="G14" s="67">
        <v>200</v>
      </c>
      <c r="H14" s="67" t="s">
        <v>255</v>
      </c>
      <c r="I14" s="50">
        <f>IF(UnitsTable[Type]="Receipt",(SUM(UnitsTable[[#This Row],[In&amp;Out Qty]])),(SUM(-INOUTQTY)))</f>
        <v>-200</v>
      </c>
    </row>
    <row r="15" spans="1:14" x14ac:dyDescent="0.35">
      <c r="A15" s="65">
        <v>45842</v>
      </c>
      <c r="B15" s="66">
        <v>4900027282</v>
      </c>
      <c r="C15" s="20" t="s">
        <v>19</v>
      </c>
      <c r="D15" s="67">
        <v>100143</v>
      </c>
      <c r="E15" s="33" t="str">
        <f>IF(D15="","",VLOOKUP(D15,'STOCK CONTROL SHEET'!Details,2,FALSE))</f>
        <v>Laminating Pouches</v>
      </c>
      <c r="F15" s="33" t="str">
        <f>IF(D15="","",VLOOKUP(D15,'STOCK CONTROL SHEET'!Details,3,FALSE))</f>
        <v>PCS</v>
      </c>
      <c r="G15" s="67">
        <v>2000</v>
      </c>
      <c r="H15" s="67" t="s">
        <v>255</v>
      </c>
      <c r="I15" s="50">
        <f>IF(UnitsTable[Type]="Receipt",(SUM(UnitsTable[[#This Row],[In&amp;Out Qty]])),(SUM(-INOUTQTY)))</f>
        <v>-2000</v>
      </c>
    </row>
    <row r="16" spans="1:14" x14ac:dyDescent="0.35">
      <c r="A16" s="65">
        <v>45842</v>
      </c>
      <c r="B16" s="66">
        <v>4900027282</v>
      </c>
      <c r="C16" s="20" t="s">
        <v>19</v>
      </c>
      <c r="D16" s="67">
        <v>100181</v>
      </c>
      <c r="E16" s="33" t="str">
        <f>IF(D16="","",VLOOKUP(D16,'STOCK CONTROL SHEET'!Details,2,FALSE))</f>
        <v>Registration Gen. Folders</v>
      </c>
      <c r="F16" s="33" t="str">
        <f>IF(D16="","",VLOOKUP(D16,'STOCK CONTROL SHEET'!Details,3,FALSE))</f>
        <v>PCS</v>
      </c>
      <c r="G16" s="67">
        <v>300</v>
      </c>
      <c r="H16" s="67" t="s">
        <v>255</v>
      </c>
      <c r="I16" s="50">
        <f>IF(UnitsTable[Type]="Receipt",(SUM(UnitsTable[[#This Row],[In&amp;Out Qty]])),(SUM(-INOUTQTY)))</f>
        <v>-300</v>
      </c>
    </row>
    <row r="17" spans="1:9" x14ac:dyDescent="0.35">
      <c r="A17" s="65">
        <v>45842</v>
      </c>
      <c r="B17" s="66">
        <v>4900027282</v>
      </c>
      <c r="C17" s="20" t="s">
        <v>19</v>
      </c>
      <c r="D17" s="67">
        <v>100145</v>
      </c>
      <c r="E17" s="33" t="str">
        <f>IF(D17="","",VLOOKUP(D17,'STOCK CONTROL SHEET'!Details,2,FALSE))</f>
        <v>Membership Cards (Blank)</v>
      </c>
      <c r="F17" s="33" t="str">
        <f>IF(D17="","",VLOOKUP(D17,'STOCK CONTROL SHEET'!Details,3,FALSE))</f>
        <v>PCS</v>
      </c>
      <c r="G17" s="67">
        <v>3000</v>
      </c>
      <c r="H17" s="67" t="s">
        <v>255</v>
      </c>
      <c r="I17" s="50">
        <f>IF(UnitsTable[Type]="Receipt",(SUM(UnitsTable[[#This Row],[In&amp;Out Qty]])),(SUM(-INOUTQTY)))</f>
        <v>-3000</v>
      </c>
    </row>
    <row r="18" spans="1:9" x14ac:dyDescent="0.35">
      <c r="A18" s="65">
        <v>45842</v>
      </c>
      <c r="B18" s="66">
        <v>4900027285</v>
      </c>
      <c r="C18" s="20" t="s">
        <v>19</v>
      </c>
      <c r="D18" s="67">
        <v>100138</v>
      </c>
      <c r="E18" s="33" t="str">
        <f>IF(D18="","",VLOOKUP(D18,'STOCK CONTROL SHEET'!Details,2,FALSE))</f>
        <v>Fingerprint Forms SF/003</v>
      </c>
      <c r="F18" s="33" t="str">
        <f>IF(D18="","",VLOOKUP(D18,'STOCK CONTROL SHEET'!Details,3,FALSE))</f>
        <v>PCS</v>
      </c>
      <c r="G18" s="67">
        <v>500</v>
      </c>
      <c r="H18" s="67" t="s">
        <v>253</v>
      </c>
      <c r="I18" s="50">
        <f>IF(UnitsTable[Type]="Receipt",(SUM(UnitsTable[[#This Row],[In&amp;Out Qty]])),(SUM(-INOUTQTY)))</f>
        <v>-500</v>
      </c>
    </row>
    <row r="19" spans="1:9" x14ac:dyDescent="0.35">
      <c r="A19" s="65">
        <v>45842</v>
      </c>
      <c r="B19" s="66">
        <v>4900027285</v>
      </c>
      <c r="C19" s="20" t="s">
        <v>19</v>
      </c>
      <c r="D19" s="67">
        <v>100220</v>
      </c>
      <c r="E19" s="33" t="str">
        <f>IF(D19="","",VLOOKUP(D19,'STOCK CONTROL SHEET'!Details,2,FALSE))</f>
        <v>Payment of Benefit Forms/004</v>
      </c>
      <c r="F19" s="33" t="str">
        <f>IF(D19="","",VLOOKUP(D19,'STOCK CONTROL SHEET'!Details,3,FALSE))</f>
        <v>PCS</v>
      </c>
      <c r="G19" s="67">
        <v>400</v>
      </c>
      <c r="H19" s="67" t="s">
        <v>253</v>
      </c>
      <c r="I19" s="50">
        <f>IF(UnitsTable[Type]="Receipt",(SUM(UnitsTable[[#This Row],[In&amp;Out Qty]])),(SUM(-INOUTQTY)))</f>
        <v>-400</v>
      </c>
    </row>
    <row r="20" spans="1:9" x14ac:dyDescent="0.35">
      <c r="A20" s="65">
        <v>45842</v>
      </c>
      <c r="B20" s="66">
        <v>4900027285</v>
      </c>
      <c r="C20" s="20" t="s">
        <v>19</v>
      </c>
      <c r="D20" s="67">
        <v>100139</v>
      </c>
      <c r="E20" s="33" t="str">
        <f>IF(D20="","",VLOOKUP(D20,'STOCK CONTROL SHEET'!Details,2,FALSE))</f>
        <v>App. For Employer SF/001</v>
      </c>
      <c r="F20" s="33" t="str">
        <f>IF(D20="","",VLOOKUP(D20,'STOCK CONTROL SHEET'!Details,3,FALSE))</f>
        <v>PCS</v>
      </c>
      <c r="G20" s="67">
        <v>500</v>
      </c>
      <c r="H20" s="67" t="s">
        <v>253</v>
      </c>
      <c r="I20" s="50">
        <f>IF(UnitsTable[Type]="Receipt",(SUM(UnitsTable[[#This Row],[In&amp;Out Qty]])),(SUM(-INOUTQTY)))</f>
        <v>-500</v>
      </c>
    </row>
    <row r="21" spans="1:9" x14ac:dyDescent="0.35">
      <c r="A21" s="65">
        <v>45842</v>
      </c>
      <c r="B21" s="66">
        <v>4900027285</v>
      </c>
      <c r="C21" s="20" t="s">
        <v>19</v>
      </c>
      <c r="D21" s="67">
        <v>100181</v>
      </c>
      <c r="E21" s="33" t="str">
        <f>IF(D21="","",VLOOKUP(D21,'STOCK CONTROL SHEET'!Details,2,FALSE))</f>
        <v>Registration Gen. Folders</v>
      </c>
      <c r="F21" s="33" t="str">
        <f>IF(D21="","",VLOOKUP(D21,'STOCK CONTROL SHEET'!Details,3,FALSE))</f>
        <v>PCS</v>
      </c>
      <c r="G21" s="67">
        <v>200</v>
      </c>
      <c r="H21" s="67" t="s">
        <v>253</v>
      </c>
      <c r="I21" s="50">
        <f>IF(UnitsTable[Type]="Receipt",(SUM(UnitsTable[[#This Row],[In&amp;Out Qty]])),(SUM(-INOUTQTY)))</f>
        <v>-200</v>
      </c>
    </row>
    <row r="22" spans="1:9" x14ac:dyDescent="0.35">
      <c r="A22" s="65">
        <v>45842</v>
      </c>
      <c r="B22" s="66">
        <v>4900027280</v>
      </c>
      <c r="C22" s="20" t="s">
        <v>19</v>
      </c>
      <c r="D22" s="67">
        <v>100145</v>
      </c>
      <c r="E22" s="33" t="str">
        <f>IF(D22="","",VLOOKUP(D22,'STOCK CONTROL SHEET'!Details,2,FALSE))</f>
        <v>Membership Cards (Blank)</v>
      </c>
      <c r="F22" s="33" t="str">
        <f>IF(D22="","",VLOOKUP(D22,'STOCK CONTROL SHEET'!Details,3,FALSE))</f>
        <v>PCS</v>
      </c>
      <c r="G22" s="67">
        <v>3000</v>
      </c>
      <c r="H22" s="67" t="s">
        <v>256</v>
      </c>
      <c r="I22" s="50">
        <f>IF(UnitsTable[Type]="Receipt",(SUM(UnitsTable[[#This Row],[In&amp;Out Qty]])),(SUM(-INOUTQTY)))</f>
        <v>-3000</v>
      </c>
    </row>
    <row r="23" spans="1:9" x14ac:dyDescent="0.35">
      <c r="A23" s="65">
        <v>45842</v>
      </c>
      <c r="B23" s="66">
        <v>4900027280</v>
      </c>
      <c r="C23" s="20" t="s">
        <v>19</v>
      </c>
      <c r="D23" s="67">
        <v>100143</v>
      </c>
      <c r="E23" s="33" t="str">
        <f>IF(D23="","",VLOOKUP(D23,'STOCK CONTROL SHEET'!Details,2,FALSE))</f>
        <v>Laminating Pouches</v>
      </c>
      <c r="F23" s="33" t="str">
        <f>IF(D23="","",VLOOKUP(D23,'STOCK CONTROL SHEET'!Details,3,FALSE))</f>
        <v>PCS</v>
      </c>
      <c r="G23" s="67">
        <v>3000</v>
      </c>
      <c r="H23" s="67" t="s">
        <v>256</v>
      </c>
      <c r="I23" s="50">
        <f>IF(UnitsTable[Type]="Receipt",(SUM(UnitsTable[[#This Row],[In&amp;Out Qty]])),(SUM(-INOUTQTY)))</f>
        <v>-3000</v>
      </c>
    </row>
    <row r="24" spans="1:9" x14ac:dyDescent="0.35">
      <c r="A24" s="65">
        <v>45842</v>
      </c>
      <c r="B24" s="66">
        <v>4900027280</v>
      </c>
      <c r="C24" s="20" t="s">
        <v>19</v>
      </c>
      <c r="D24" s="67">
        <v>100138</v>
      </c>
      <c r="E24" s="33" t="str">
        <f>IF(D24="","",VLOOKUP(D24,'STOCK CONTROL SHEET'!Details,2,FALSE))</f>
        <v>Fingerprint Forms SF/003</v>
      </c>
      <c r="F24" s="33" t="str">
        <f>IF(D24="","",VLOOKUP(D24,'STOCK CONTROL SHEET'!Details,3,FALSE))</f>
        <v>PCS</v>
      </c>
      <c r="G24" s="67">
        <v>500</v>
      </c>
      <c r="H24" s="67" t="s">
        <v>256</v>
      </c>
      <c r="I24" s="50">
        <f>IF(UnitsTable[Type]="Receipt",(SUM(UnitsTable[[#This Row],[In&amp;Out Qty]])),(SUM(-INOUTQTY)))</f>
        <v>-500</v>
      </c>
    </row>
    <row r="25" spans="1:9" x14ac:dyDescent="0.35">
      <c r="A25" s="65">
        <v>45842</v>
      </c>
      <c r="B25" s="66">
        <v>4900027280</v>
      </c>
      <c r="C25" s="20" t="s">
        <v>19</v>
      </c>
      <c r="D25" s="67">
        <v>100220</v>
      </c>
      <c r="E25" s="33" t="str">
        <f>IF(D25="","",VLOOKUP(D25,'STOCK CONTROL SHEET'!Details,2,FALSE))</f>
        <v>Payment of Benefit Forms/004</v>
      </c>
      <c r="F25" s="33" t="str">
        <f>IF(D25="","",VLOOKUP(D25,'STOCK CONTROL SHEET'!Details,3,FALSE))</f>
        <v>PCS</v>
      </c>
      <c r="G25" s="67">
        <v>500</v>
      </c>
      <c r="H25" s="67" t="s">
        <v>256</v>
      </c>
      <c r="I25" s="50">
        <f>IF(UnitsTable[Type]="Receipt",(SUM(UnitsTable[[#This Row],[In&amp;Out Qty]])),(SUM(-INOUTQTY)))</f>
        <v>-500</v>
      </c>
    </row>
    <row r="26" spans="1:9" x14ac:dyDescent="0.35">
      <c r="A26" s="65">
        <v>45842</v>
      </c>
      <c r="B26" s="66">
        <v>4900027280</v>
      </c>
      <c r="C26" s="20" t="s">
        <v>19</v>
      </c>
      <c r="D26" s="67">
        <v>100221</v>
      </c>
      <c r="E26" s="33" t="str">
        <f>IF(D26="","",VLOOKUP(D26,'STOCK CONTROL SHEET'!Details,2,FALSE))</f>
        <v>Funeral Grant Forms 006</v>
      </c>
      <c r="F26" s="33" t="str">
        <f>IF(D26="","",VLOOKUP(D26,'STOCK CONTROL SHEET'!Details,3,FALSE))</f>
        <v>PCS</v>
      </c>
      <c r="G26" s="67">
        <v>100</v>
      </c>
      <c r="H26" s="67" t="s">
        <v>256</v>
      </c>
      <c r="I26" s="50">
        <f>IF(UnitsTable[Type]="Receipt",(SUM(UnitsTable[[#This Row],[In&amp;Out Qty]])),(SUM(-INOUTQTY)))</f>
        <v>-100</v>
      </c>
    </row>
    <row r="27" spans="1:9" x14ac:dyDescent="0.35">
      <c r="A27" s="65">
        <v>45842</v>
      </c>
      <c r="B27" s="66">
        <v>4900027280</v>
      </c>
      <c r="C27" s="20" t="s">
        <v>19</v>
      </c>
      <c r="D27" s="67">
        <v>100211</v>
      </c>
      <c r="E27" s="33" t="str">
        <f>IF(D27="","",VLOOKUP(D27,'STOCK CONTROL SHEET'!Details,2,FALSE))</f>
        <v>Survivor Ben. Form</v>
      </c>
      <c r="F27" s="33" t="str">
        <f>IF(D27="","",VLOOKUP(D27,'STOCK CONTROL SHEET'!Details,3,FALSE))</f>
        <v>PCS</v>
      </c>
      <c r="G27" s="67">
        <v>200</v>
      </c>
      <c r="H27" s="67" t="s">
        <v>256</v>
      </c>
      <c r="I27" s="50">
        <f>IF(UnitsTable[Type]="Receipt",(SUM(UnitsTable[[#This Row],[In&amp;Out Qty]])),(SUM(-INOUTQTY)))</f>
        <v>-200</v>
      </c>
    </row>
    <row r="28" spans="1:9" x14ac:dyDescent="0.35">
      <c r="A28" s="65">
        <v>45846</v>
      </c>
      <c r="B28" s="66">
        <v>4900027289</v>
      </c>
      <c r="C28" s="20" t="s">
        <v>19</v>
      </c>
      <c r="D28" s="67">
        <v>100138</v>
      </c>
      <c r="E28" s="33" t="str">
        <f>IF(D28="","",VLOOKUP(D28,'STOCK CONTROL SHEET'!Details,2,FALSE))</f>
        <v>Fingerprint Forms SF/003</v>
      </c>
      <c r="F28" s="33" t="str">
        <f>IF(D28="","",VLOOKUP(D28,'STOCK CONTROL SHEET'!Details,3,FALSE))</f>
        <v>PCS</v>
      </c>
      <c r="G28" s="67">
        <v>500</v>
      </c>
      <c r="H28" s="67" t="s">
        <v>257</v>
      </c>
      <c r="I28" s="50">
        <f>IF(UnitsTable[Type]="Receipt",(SUM(UnitsTable[[#This Row],[In&amp;Out Qty]])),(SUM(-INOUTQTY)))</f>
        <v>-500</v>
      </c>
    </row>
    <row r="29" spans="1:9" x14ac:dyDescent="0.35">
      <c r="A29" s="65">
        <v>45846</v>
      </c>
      <c r="B29" s="66">
        <v>4900027289</v>
      </c>
      <c r="C29" s="20" t="s">
        <v>19</v>
      </c>
      <c r="D29" s="67">
        <v>100139</v>
      </c>
      <c r="E29" s="33" t="str">
        <f>IF(D29="","",VLOOKUP(D29,'STOCK CONTROL SHEET'!Details,2,FALSE))</f>
        <v>App. For Employer SF/001</v>
      </c>
      <c r="F29" s="33" t="str">
        <f>IF(D29="","",VLOOKUP(D29,'STOCK CONTROL SHEET'!Details,3,FALSE))</f>
        <v>PCS</v>
      </c>
      <c r="G29" s="67">
        <v>500</v>
      </c>
      <c r="H29" s="67" t="s">
        <v>257</v>
      </c>
      <c r="I29" s="50">
        <f>IF(UnitsTable[Type]="Receipt",(SUM(UnitsTable[[#This Row],[In&amp;Out Qty]])),(SUM(-INOUTQTY)))</f>
        <v>-500</v>
      </c>
    </row>
    <row r="30" spans="1:9" x14ac:dyDescent="0.35">
      <c r="A30" s="65">
        <v>45846</v>
      </c>
      <c r="B30" s="66">
        <v>4900027289</v>
      </c>
      <c r="C30" s="20" t="s">
        <v>19</v>
      </c>
      <c r="D30" s="67">
        <v>100143</v>
      </c>
      <c r="E30" s="33" t="str">
        <f>IF(D30="","",VLOOKUP(D30,'STOCK CONTROL SHEET'!Details,2,FALSE))</f>
        <v>Laminating Pouches</v>
      </c>
      <c r="F30" s="33" t="str">
        <f>IF(D30="","",VLOOKUP(D30,'STOCK CONTROL SHEET'!Details,3,FALSE))</f>
        <v>PCS</v>
      </c>
      <c r="G30" s="67">
        <v>3000</v>
      </c>
      <c r="H30" s="67" t="s">
        <v>257</v>
      </c>
      <c r="I30" s="50">
        <f>IF(UnitsTable[Type]="Receipt",(SUM(UnitsTable[[#This Row],[In&amp;Out Qty]])),(SUM(-INOUTQTY)))</f>
        <v>-3000</v>
      </c>
    </row>
    <row r="31" spans="1:9" x14ac:dyDescent="0.35">
      <c r="A31" s="65">
        <v>45846</v>
      </c>
      <c r="B31" s="66">
        <v>4900027289</v>
      </c>
      <c r="C31" s="20" t="s">
        <v>19</v>
      </c>
      <c r="D31" s="67">
        <v>100145</v>
      </c>
      <c r="E31" s="33" t="str">
        <f>IF(D31="","",VLOOKUP(D31,'STOCK CONTROL SHEET'!Details,2,FALSE))</f>
        <v>Membership Cards (Blank)</v>
      </c>
      <c r="F31" s="33" t="str">
        <f>IF(D31="","",VLOOKUP(D31,'STOCK CONTROL SHEET'!Details,3,FALSE))</f>
        <v>PCS</v>
      </c>
      <c r="G31" s="67">
        <v>3000</v>
      </c>
      <c r="H31" s="67" t="s">
        <v>257</v>
      </c>
      <c r="I31" s="50">
        <f>IF(UnitsTable[Type]="Receipt",(SUM(UnitsTable[[#This Row],[In&amp;Out Qty]])),(SUM(-INOUTQTY)))</f>
        <v>-3000</v>
      </c>
    </row>
    <row r="32" spans="1:9" x14ac:dyDescent="0.35">
      <c r="A32" s="65">
        <v>45847</v>
      </c>
      <c r="B32" s="66">
        <v>4900027295</v>
      </c>
      <c r="C32" s="20" t="s">
        <v>19</v>
      </c>
      <c r="D32" s="67">
        <v>100211</v>
      </c>
      <c r="E32" s="33" t="str">
        <f>IF(D32="","",VLOOKUP(D32,'STOCK CONTROL SHEET'!Details,2,FALSE))</f>
        <v>Survivor Ben. Form</v>
      </c>
      <c r="F32" s="33" t="str">
        <f>IF(D32="","",VLOOKUP(D32,'STOCK CONTROL SHEET'!Details,3,FALSE))</f>
        <v>PCS</v>
      </c>
      <c r="G32" s="67">
        <v>200</v>
      </c>
      <c r="H32" s="67" t="s">
        <v>258</v>
      </c>
      <c r="I32" s="50">
        <f>IF(UnitsTable[Type]="Receipt",(SUM(UnitsTable[[#This Row],[In&amp;Out Qty]])),(SUM(-INOUTQTY)))</f>
        <v>-200</v>
      </c>
    </row>
    <row r="33" spans="1:9" x14ac:dyDescent="0.35">
      <c r="A33" s="65">
        <v>45847</v>
      </c>
      <c r="B33" s="66">
        <v>4900027295</v>
      </c>
      <c r="C33" s="20" t="s">
        <v>19</v>
      </c>
      <c r="D33" s="67">
        <v>100145</v>
      </c>
      <c r="E33" s="33" t="str">
        <f>IF(D33="","",VLOOKUP(D33,'STOCK CONTROL SHEET'!Details,2,FALSE))</f>
        <v>Membership Cards (Blank)</v>
      </c>
      <c r="F33" s="33" t="str">
        <f>IF(D33="","",VLOOKUP(D33,'STOCK CONTROL SHEET'!Details,3,FALSE))</f>
        <v>PCS</v>
      </c>
      <c r="G33" s="67">
        <v>2000</v>
      </c>
      <c r="H33" s="67" t="s">
        <v>258</v>
      </c>
      <c r="I33" s="50">
        <f>IF(UnitsTable[Type]="Receipt",(SUM(UnitsTable[[#This Row],[In&amp;Out Qty]])),(SUM(-INOUTQTY)))</f>
        <v>-2000</v>
      </c>
    </row>
    <row r="34" spans="1:9" x14ac:dyDescent="0.35">
      <c r="A34" s="65">
        <v>45847</v>
      </c>
      <c r="B34" s="66">
        <v>4900027295</v>
      </c>
      <c r="C34" s="20" t="s">
        <v>19</v>
      </c>
      <c r="D34" s="67">
        <v>100138</v>
      </c>
      <c r="E34" s="33" t="str">
        <f>IF(D34="","",VLOOKUP(D34,'STOCK CONTROL SHEET'!Details,2,FALSE))</f>
        <v>Fingerprint Forms SF/003</v>
      </c>
      <c r="F34" s="33" t="str">
        <f>IF(D34="","",VLOOKUP(D34,'STOCK CONTROL SHEET'!Details,3,FALSE))</f>
        <v>PCS</v>
      </c>
      <c r="G34" s="67">
        <v>500</v>
      </c>
      <c r="H34" s="67" t="s">
        <v>258</v>
      </c>
      <c r="I34" s="50">
        <f>IF(UnitsTable[Type]="Receipt",(SUM(UnitsTable[[#This Row],[In&amp;Out Qty]])),(SUM(-INOUTQTY)))</f>
        <v>-500</v>
      </c>
    </row>
    <row r="35" spans="1:9" x14ac:dyDescent="0.35">
      <c r="A35" s="65">
        <v>45847</v>
      </c>
      <c r="B35" s="66">
        <v>4900027295</v>
      </c>
      <c r="C35" s="20" t="s">
        <v>19</v>
      </c>
      <c r="D35" s="67">
        <v>100218</v>
      </c>
      <c r="E35" s="33" t="str">
        <f>IF(D35="","",VLOOKUP(D35,'STOCK CONTROL SHEET'!Details,2,FALSE))</f>
        <v>Ben. App. Forms SF/001</v>
      </c>
      <c r="F35" s="33" t="str">
        <f>IF(D35="","",VLOOKUP(D35,'STOCK CONTROL SHEET'!Details,3,FALSE))</f>
        <v>PCS</v>
      </c>
      <c r="G35" s="67">
        <v>150</v>
      </c>
      <c r="H35" s="67" t="s">
        <v>258</v>
      </c>
      <c r="I35" s="50">
        <f>IF(UnitsTable[Type]="Receipt",(SUM(UnitsTable[[#This Row],[In&amp;Out Qty]])),(SUM(-INOUTQTY)))</f>
        <v>-150</v>
      </c>
    </row>
    <row r="36" spans="1:9" x14ac:dyDescent="0.35">
      <c r="A36" s="65">
        <v>45847</v>
      </c>
      <c r="B36" s="66">
        <v>4900027295</v>
      </c>
      <c r="C36" s="20" t="s">
        <v>19</v>
      </c>
      <c r="D36" s="67">
        <v>100143</v>
      </c>
      <c r="E36" s="33" t="str">
        <f>IF(D36="","",VLOOKUP(D36,'STOCK CONTROL SHEET'!Details,2,FALSE))</f>
        <v>Laminating Pouches</v>
      </c>
      <c r="F36" s="33" t="str">
        <f>IF(D36="","",VLOOKUP(D36,'STOCK CONTROL SHEET'!Details,3,FALSE))</f>
        <v>PCS</v>
      </c>
      <c r="G36" s="67">
        <v>2000</v>
      </c>
      <c r="H36" s="67" t="s">
        <v>258</v>
      </c>
      <c r="I36" s="50">
        <f>IF(UnitsTable[Type]="Receipt",(SUM(UnitsTable[[#This Row],[In&amp;Out Qty]])),(SUM(-INOUTQTY)))</f>
        <v>-2000</v>
      </c>
    </row>
    <row r="37" spans="1:9" x14ac:dyDescent="0.35">
      <c r="A37" s="65">
        <v>45847</v>
      </c>
      <c r="B37" s="66">
        <v>4900027295</v>
      </c>
      <c r="C37" s="20" t="s">
        <v>19</v>
      </c>
      <c r="D37" s="67">
        <v>100220</v>
      </c>
      <c r="E37" s="33" t="str">
        <f>IF(D37="","",VLOOKUP(D37,'STOCK CONTROL SHEET'!Details,2,FALSE))</f>
        <v>Payment of Benefit Forms/004</v>
      </c>
      <c r="F37" s="33" t="str">
        <f>IF(D37="","",VLOOKUP(D37,'STOCK CONTROL SHEET'!Details,3,FALSE))</f>
        <v>PCS</v>
      </c>
      <c r="G37" s="67">
        <v>100</v>
      </c>
      <c r="H37" s="67" t="s">
        <v>258</v>
      </c>
      <c r="I37" s="50">
        <f>IF(UnitsTable[Type]="Receipt",(SUM(UnitsTable[[#This Row],[In&amp;Out Qty]])),(SUM(-INOUTQTY)))</f>
        <v>-100</v>
      </c>
    </row>
    <row r="38" spans="1:9" x14ac:dyDescent="0.35">
      <c r="A38" s="65">
        <v>45847</v>
      </c>
      <c r="B38" s="66">
        <v>4900027295</v>
      </c>
      <c r="C38" s="20" t="s">
        <v>19</v>
      </c>
      <c r="D38" s="67">
        <v>100221</v>
      </c>
      <c r="E38" s="33" t="str">
        <f>IF(D38="","",VLOOKUP(D38,'STOCK CONTROL SHEET'!Details,2,FALSE))</f>
        <v>Funeral Grant Forms 006</v>
      </c>
      <c r="F38" s="33" t="str">
        <f>IF(D38="","",VLOOKUP(D38,'STOCK CONTROL SHEET'!Details,3,FALSE))</f>
        <v>PCS</v>
      </c>
      <c r="G38" s="67">
        <v>80</v>
      </c>
      <c r="H38" s="67" t="s">
        <v>258</v>
      </c>
      <c r="I38" s="50">
        <f>IF(UnitsTable[Type]="Receipt",(SUM(UnitsTable[[#This Row],[In&amp;Out Qty]])),(SUM(-INOUTQTY)))</f>
        <v>-80</v>
      </c>
    </row>
    <row r="39" spans="1:9" x14ac:dyDescent="0.35">
      <c r="A39" s="65">
        <v>45847</v>
      </c>
      <c r="B39" s="66">
        <v>4900027300</v>
      </c>
      <c r="C39" s="20" t="s">
        <v>19</v>
      </c>
      <c r="D39" s="67">
        <v>100145</v>
      </c>
      <c r="E39" s="33" t="str">
        <f>IF(D39="","",VLOOKUP(D39,'STOCK CONTROL SHEET'!Details,2,FALSE))</f>
        <v>Membership Cards (Blank)</v>
      </c>
      <c r="F39" s="33" t="str">
        <f>IF(D39="","",VLOOKUP(D39,'STOCK CONTROL SHEET'!Details,3,FALSE))</f>
        <v>PCS</v>
      </c>
      <c r="G39" s="67">
        <v>3000</v>
      </c>
      <c r="H39" s="67" t="s">
        <v>253</v>
      </c>
      <c r="I39" s="50">
        <f>IF(UnitsTable[Type]="Receipt",(SUM(UnitsTable[[#This Row],[In&amp;Out Qty]])),(SUM(-INOUTQTY)))</f>
        <v>-3000</v>
      </c>
    </row>
    <row r="40" spans="1:9" x14ac:dyDescent="0.35">
      <c r="A40" s="65">
        <v>45849</v>
      </c>
      <c r="B40" s="66">
        <v>4900027310</v>
      </c>
      <c r="C40" s="20" t="s">
        <v>19</v>
      </c>
      <c r="D40" s="67">
        <v>100123</v>
      </c>
      <c r="E40" s="33" t="str">
        <f>IF(D40="","",VLOOKUP(D40,'STOCK CONTROL SHEET'!Details,2,FALSE))</f>
        <v>Envelopes A4</v>
      </c>
      <c r="F40" s="33" t="str">
        <f>IF(D40="","",VLOOKUP(D40,'STOCK CONTROL SHEET'!Details,3,FALSE))</f>
        <v>PCS</v>
      </c>
      <c r="G40" s="67">
        <v>200</v>
      </c>
      <c r="H40" s="67" t="s">
        <v>217</v>
      </c>
      <c r="I40" s="50">
        <f>IF(UnitsTable[Type]="Receipt",(SUM(UnitsTable[[#This Row],[In&amp;Out Qty]])),(SUM(-INOUTQTY)))</f>
        <v>-200</v>
      </c>
    </row>
    <row r="41" spans="1:9" x14ac:dyDescent="0.35">
      <c r="A41" s="65">
        <v>45849</v>
      </c>
      <c r="B41" s="66">
        <v>4900027310</v>
      </c>
      <c r="C41" s="20" t="s">
        <v>19</v>
      </c>
      <c r="D41" s="67">
        <v>100122</v>
      </c>
      <c r="E41" s="33" t="str">
        <f>IF(D41="","",VLOOKUP(D41,'STOCK CONTROL SHEET'!Details,2,FALSE))</f>
        <v>Envelopes A5</v>
      </c>
      <c r="F41" s="33" t="str">
        <f>IF(D41="","",VLOOKUP(D41,'STOCK CONTROL SHEET'!Details,3,FALSE))</f>
        <v>PCS</v>
      </c>
      <c r="G41" s="67">
        <v>200</v>
      </c>
      <c r="H41" s="67" t="s">
        <v>217</v>
      </c>
      <c r="I41" s="50">
        <f>IF(UnitsTable[Type]="Receipt",(SUM(UnitsTable[[#This Row],[In&amp;Out Qty]])),(SUM(-INOUTQTY)))</f>
        <v>-200</v>
      </c>
    </row>
    <row r="42" spans="1:9" x14ac:dyDescent="0.35">
      <c r="A42" s="65">
        <v>45849</v>
      </c>
      <c r="B42" s="66">
        <v>4900027306</v>
      </c>
      <c r="C42" s="20" t="s">
        <v>19</v>
      </c>
      <c r="D42" s="67">
        <v>100130</v>
      </c>
      <c r="E42" s="33" t="str">
        <f>IF(D42="","",VLOOKUP(D42,'STOCK CONTROL SHEET'!Details,2,FALSE))</f>
        <v>Emigration Benefit Folders</v>
      </c>
      <c r="F42" s="33" t="str">
        <f>IF(D42="","",VLOOKUP(D42,'STOCK CONTROL SHEET'!Details,3,FALSE))</f>
        <v>PCS</v>
      </c>
      <c r="G42" s="67">
        <v>100</v>
      </c>
      <c r="H42" s="67" t="s">
        <v>259</v>
      </c>
      <c r="I42" s="50">
        <f>IF(UnitsTable[Type]="Receipt",(SUM(UnitsTable[[#This Row],[In&amp;Out Qty]])),(SUM(-INOUTQTY)))</f>
        <v>-100</v>
      </c>
    </row>
    <row r="43" spans="1:9" x14ac:dyDescent="0.35">
      <c r="A43" s="65">
        <v>45849</v>
      </c>
      <c r="B43" s="66">
        <v>4900027306</v>
      </c>
      <c r="C43" s="20" t="s">
        <v>19</v>
      </c>
      <c r="D43" s="67">
        <v>100218</v>
      </c>
      <c r="E43" s="33" t="str">
        <f>IF(D43="","",VLOOKUP(D43,'STOCK CONTROL SHEET'!Details,2,FALSE))</f>
        <v>Ben. App. Forms SF/001</v>
      </c>
      <c r="F43" s="33" t="str">
        <f>IF(D43="","",VLOOKUP(D43,'STOCK CONTROL SHEET'!Details,3,FALSE))</f>
        <v>PCS</v>
      </c>
      <c r="G43" s="67">
        <v>300</v>
      </c>
      <c r="H43" s="67" t="s">
        <v>259</v>
      </c>
      <c r="I43" s="50">
        <f>IF(UnitsTable[Type]="Receipt",(SUM(UnitsTable[[#This Row],[In&amp;Out Qty]])),(SUM(-INOUTQTY)))</f>
        <v>-300</v>
      </c>
    </row>
    <row r="44" spans="1:9" x14ac:dyDescent="0.35">
      <c r="A44" s="65">
        <v>45849</v>
      </c>
      <c r="B44" s="66">
        <v>4900027306</v>
      </c>
      <c r="C44" s="20" t="s">
        <v>19</v>
      </c>
      <c r="D44" s="67">
        <v>100138</v>
      </c>
      <c r="E44" s="33" t="str">
        <f>IF(D44="","",VLOOKUP(D44,'STOCK CONTROL SHEET'!Details,2,FALSE))</f>
        <v>Fingerprint Forms SF/003</v>
      </c>
      <c r="F44" s="33" t="str">
        <f>IF(D44="","",VLOOKUP(D44,'STOCK CONTROL SHEET'!Details,3,FALSE))</f>
        <v>PCS</v>
      </c>
      <c r="G44" s="67">
        <v>500</v>
      </c>
      <c r="H44" s="67" t="s">
        <v>259</v>
      </c>
      <c r="I44" s="50">
        <f>IF(UnitsTable[Type]="Receipt",(SUM(UnitsTable[[#This Row],[In&amp;Out Qty]])),(SUM(-INOUTQTY)))</f>
        <v>-500</v>
      </c>
    </row>
    <row r="45" spans="1:9" x14ac:dyDescent="0.35">
      <c r="A45" s="65">
        <v>45849</v>
      </c>
      <c r="B45" s="66">
        <v>4900027306</v>
      </c>
      <c r="C45" s="20" t="s">
        <v>19</v>
      </c>
      <c r="D45" s="67">
        <v>100211</v>
      </c>
      <c r="E45" s="33" t="str">
        <f>IF(D45="","",VLOOKUP(D45,'STOCK CONTROL SHEET'!Details,2,FALSE))</f>
        <v>Survivor Ben. Form</v>
      </c>
      <c r="F45" s="33" t="str">
        <f>IF(D45="","",VLOOKUP(D45,'STOCK CONTROL SHEET'!Details,3,FALSE))</f>
        <v>PCS</v>
      </c>
      <c r="G45" s="67">
        <v>200</v>
      </c>
      <c r="H45" s="67" t="s">
        <v>259</v>
      </c>
      <c r="I45" s="50">
        <f>IF(UnitsTable[Type]="Receipt",(SUM(UnitsTable[[#This Row],[In&amp;Out Qty]])),(SUM(-INOUTQTY)))</f>
        <v>-200</v>
      </c>
    </row>
    <row r="46" spans="1:9" x14ac:dyDescent="0.35">
      <c r="A46" s="65">
        <v>45849</v>
      </c>
      <c r="B46" s="66">
        <v>4900027306</v>
      </c>
      <c r="C46" s="20" t="s">
        <v>19</v>
      </c>
      <c r="D46" s="67">
        <v>100181</v>
      </c>
      <c r="E46" s="33" t="str">
        <f>IF(D46="","",VLOOKUP(D46,'STOCK CONTROL SHEET'!Details,2,FALSE))</f>
        <v>Registration Gen. Folders</v>
      </c>
      <c r="F46" s="33" t="str">
        <f>IF(D46="","",VLOOKUP(D46,'STOCK CONTROL SHEET'!Details,3,FALSE))</f>
        <v>PCS</v>
      </c>
      <c r="G46" s="67">
        <v>300</v>
      </c>
      <c r="H46" s="67" t="s">
        <v>259</v>
      </c>
      <c r="I46" s="50">
        <f>IF(UnitsTable[Type]="Receipt",(SUM(UnitsTable[[#This Row],[In&amp;Out Qty]])),(SUM(-INOUTQTY)))</f>
        <v>-300</v>
      </c>
    </row>
    <row r="47" spans="1:9" x14ac:dyDescent="0.35">
      <c r="A47" s="65">
        <v>45849</v>
      </c>
      <c r="B47" s="66">
        <v>4900027306</v>
      </c>
      <c r="C47" s="20" t="s">
        <v>19</v>
      </c>
      <c r="D47" s="67">
        <v>100220</v>
      </c>
      <c r="E47" s="33" t="str">
        <f>IF(D47="","",VLOOKUP(D47,'STOCK CONTROL SHEET'!Details,2,FALSE))</f>
        <v>Payment of Benefit Forms/004</v>
      </c>
      <c r="F47" s="33" t="str">
        <f>IF(D47="","",VLOOKUP(D47,'STOCK CONTROL SHEET'!Details,3,FALSE))</f>
        <v>PCS</v>
      </c>
      <c r="G47" s="67">
        <v>500</v>
      </c>
      <c r="H47" s="67" t="s">
        <v>259</v>
      </c>
      <c r="I47" s="50">
        <f>IF(UnitsTable[Type]="Receipt",(SUM(UnitsTable[[#This Row],[In&amp;Out Qty]])),(SUM(-INOUTQTY)))</f>
        <v>-500</v>
      </c>
    </row>
    <row r="48" spans="1:9" x14ac:dyDescent="0.35">
      <c r="A48" s="65">
        <v>45849</v>
      </c>
      <c r="B48" s="66">
        <v>4900027301</v>
      </c>
      <c r="C48" s="20" t="s">
        <v>19</v>
      </c>
      <c r="D48" s="67">
        <v>100139</v>
      </c>
      <c r="E48" s="33" t="str">
        <f>IF(D48="","",VLOOKUP(D48,'STOCK CONTROL SHEET'!Details,2,FALSE))</f>
        <v>App. For Employer SF/001</v>
      </c>
      <c r="F48" s="33" t="str">
        <f>IF(D48="","",VLOOKUP(D48,'STOCK CONTROL SHEET'!Details,3,FALSE))</f>
        <v>PCS</v>
      </c>
      <c r="G48" s="67">
        <v>500</v>
      </c>
      <c r="H48" s="67" t="s">
        <v>260</v>
      </c>
      <c r="I48" s="50">
        <f>IF(UnitsTable[Type]="Receipt",(SUM(UnitsTable[[#This Row],[In&amp;Out Qty]])),(SUM(-INOUTQTY)))</f>
        <v>-500</v>
      </c>
    </row>
    <row r="49" spans="1:9" x14ac:dyDescent="0.35">
      <c r="A49" s="65">
        <v>45849</v>
      </c>
      <c r="B49" s="66">
        <v>4900027301</v>
      </c>
      <c r="C49" s="20" t="s">
        <v>19</v>
      </c>
      <c r="D49" s="67">
        <v>100145</v>
      </c>
      <c r="E49" s="33" t="str">
        <f>IF(D49="","",VLOOKUP(D49,'STOCK CONTROL SHEET'!Details,2,FALSE))</f>
        <v>Membership Cards (Blank)</v>
      </c>
      <c r="F49" s="33" t="str">
        <f>IF(D49="","",VLOOKUP(D49,'STOCK CONTROL SHEET'!Details,3,FALSE))</f>
        <v>PCS</v>
      </c>
      <c r="G49" s="67">
        <v>3000</v>
      </c>
      <c r="H49" s="67" t="s">
        <v>260</v>
      </c>
      <c r="I49" s="50">
        <f>IF(UnitsTable[Type]="Receipt",(SUM(UnitsTable[[#This Row],[In&amp;Out Qty]])),(SUM(-INOUTQTY)))</f>
        <v>-3000</v>
      </c>
    </row>
    <row r="50" spans="1:9" x14ac:dyDescent="0.35">
      <c r="A50" s="65">
        <v>45849</v>
      </c>
      <c r="B50" s="66">
        <v>4900027301</v>
      </c>
      <c r="C50" s="20" t="s">
        <v>19</v>
      </c>
      <c r="D50" s="67">
        <v>100143</v>
      </c>
      <c r="E50" s="33" t="str">
        <f>IF(D50="","",VLOOKUP(D50,'STOCK CONTROL SHEET'!Details,2,FALSE))</f>
        <v>Laminating Pouches</v>
      </c>
      <c r="F50" s="33" t="str">
        <f>IF(D50="","",VLOOKUP(D50,'STOCK CONTROL SHEET'!Details,3,FALSE))</f>
        <v>PCS</v>
      </c>
      <c r="G50" s="67">
        <v>3000</v>
      </c>
      <c r="H50" s="67" t="s">
        <v>260</v>
      </c>
      <c r="I50" s="50">
        <f>IF(UnitsTable[Type]="Receipt",(SUM(UnitsTable[[#This Row],[In&amp;Out Qty]])),(SUM(-INOUTQTY)))</f>
        <v>-3000</v>
      </c>
    </row>
    <row r="51" spans="1:9" x14ac:dyDescent="0.35">
      <c r="A51" s="65">
        <v>45849</v>
      </c>
      <c r="B51" s="66">
        <v>4900027301</v>
      </c>
      <c r="C51" s="20" t="s">
        <v>19</v>
      </c>
      <c r="D51" s="67">
        <v>100138</v>
      </c>
      <c r="E51" s="33" t="str">
        <f>IF(D51="","",VLOOKUP(D51,'STOCK CONTROL SHEET'!Details,2,FALSE))</f>
        <v>Fingerprint Forms SF/003</v>
      </c>
      <c r="F51" s="33" t="str">
        <f>IF(D51="","",VLOOKUP(D51,'STOCK CONTROL SHEET'!Details,3,FALSE))</f>
        <v>PCS</v>
      </c>
      <c r="G51" s="67">
        <v>500</v>
      </c>
      <c r="H51" s="67" t="s">
        <v>260</v>
      </c>
      <c r="I51" s="50">
        <f>IF(UnitsTable[Type]="Receipt",(SUM(UnitsTable[[#This Row],[In&amp;Out Qty]])),(SUM(-INOUTQTY)))</f>
        <v>-500</v>
      </c>
    </row>
    <row r="52" spans="1:9" x14ac:dyDescent="0.35">
      <c r="A52" s="65">
        <v>45849</v>
      </c>
      <c r="B52" s="66">
        <v>4900027301</v>
      </c>
      <c r="C52" s="20" t="s">
        <v>19</v>
      </c>
      <c r="D52" s="67">
        <v>100220</v>
      </c>
      <c r="E52" s="33" t="str">
        <f>IF(D52="","",VLOOKUP(D52,'STOCK CONTROL SHEET'!Details,2,FALSE))</f>
        <v>Payment of Benefit Forms/004</v>
      </c>
      <c r="F52" s="33" t="str">
        <f>IF(D52="","",VLOOKUP(D52,'STOCK CONTROL SHEET'!Details,3,FALSE))</f>
        <v>PCS</v>
      </c>
      <c r="G52" s="67">
        <v>500</v>
      </c>
      <c r="H52" s="67" t="s">
        <v>260</v>
      </c>
      <c r="I52" s="50">
        <f>IF(UnitsTable[Type]="Receipt",(SUM(UnitsTable[[#This Row],[In&amp;Out Qty]])),(SUM(-INOUTQTY)))</f>
        <v>-500</v>
      </c>
    </row>
    <row r="53" spans="1:9" x14ac:dyDescent="0.35">
      <c r="A53" s="65">
        <v>45849</v>
      </c>
      <c r="B53" s="66">
        <v>4900027301</v>
      </c>
      <c r="C53" s="20" t="s">
        <v>19</v>
      </c>
      <c r="D53" s="67">
        <v>100218</v>
      </c>
      <c r="E53" s="33" t="str">
        <f>IF(D53="","",VLOOKUP(D53,'STOCK CONTROL SHEET'!Details,2,FALSE))</f>
        <v>Ben. App. Forms SF/001</v>
      </c>
      <c r="F53" s="33" t="str">
        <f>IF(D53="","",VLOOKUP(D53,'STOCK CONTROL SHEET'!Details,3,FALSE))</f>
        <v>PCS</v>
      </c>
      <c r="G53" s="67">
        <v>400</v>
      </c>
      <c r="H53" s="67" t="s">
        <v>260</v>
      </c>
      <c r="I53" s="50">
        <f>IF(UnitsTable[Type]="Receipt",(SUM(UnitsTable[[#This Row],[In&amp;Out Qty]])),(SUM(-INOUTQTY)))</f>
        <v>-400</v>
      </c>
    </row>
    <row r="54" spans="1:9" x14ac:dyDescent="0.35">
      <c r="A54" s="65">
        <v>45852</v>
      </c>
      <c r="B54" s="66">
        <v>4900027322</v>
      </c>
      <c r="C54" s="20" t="s">
        <v>19</v>
      </c>
      <c r="D54" s="67">
        <v>100123</v>
      </c>
      <c r="E54" s="33" t="str">
        <f>IF(D54="","",VLOOKUP(D54,'STOCK CONTROL SHEET'!Details,2,FALSE))</f>
        <v>Envelopes A4</v>
      </c>
      <c r="F54" s="33" t="str">
        <f>IF(D54="","",VLOOKUP(D54,'STOCK CONTROL SHEET'!Details,3,FALSE))</f>
        <v>PCS</v>
      </c>
      <c r="G54" s="67">
        <v>300</v>
      </c>
      <c r="H54" s="67" t="s">
        <v>261</v>
      </c>
      <c r="I54" s="50">
        <f>IF(UnitsTable[Type]="Receipt",(SUM(UnitsTable[[#This Row],[In&amp;Out Qty]])),(SUM(-INOUTQTY)))</f>
        <v>-300</v>
      </c>
    </row>
    <row r="55" spans="1:9" x14ac:dyDescent="0.35">
      <c r="A55" s="65">
        <v>45852</v>
      </c>
      <c r="B55" s="66">
        <v>4900027313</v>
      </c>
      <c r="C55" s="20" t="s">
        <v>19</v>
      </c>
      <c r="D55" s="67">
        <v>100218</v>
      </c>
      <c r="E55" s="33" t="str">
        <f>IF(D55="","",VLOOKUP(D55,'STOCK CONTROL SHEET'!Details,2,FALSE))</f>
        <v>Ben. App. Forms SF/001</v>
      </c>
      <c r="F55" s="33" t="str">
        <f>IF(D55="","",VLOOKUP(D55,'STOCK CONTROL SHEET'!Details,3,FALSE))</f>
        <v>PCS</v>
      </c>
      <c r="G55" s="67">
        <v>500</v>
      </c>
      <c r="H55" s="67" t="s">
        <v>262</v>
      </c>
      <c r="I55" s="50">
        <f>IF(UnitsTable[Type]="Receipt",(SUM(UnitsTable[[#This Row],[In&amp;Out Qty]])),(SUM(-INOUTQTY)))</f>
        <v>-500</v>
      </c>
    </row>
    <row r="56" spans="1:9" x14ac:dyDescent="0.35">
      <c r="A56" s="65">
        <v>45852</v>
      </c>
      <c r="B56" s="66">
        <v>4900027313</v>
      </c>
      <c r="C56" s="20" t="s">
        <v>19</v>
      </c>
      <c r="D56" s="67">
        <v>100143</v>
      </c>
      <c r="E56" s="33" t="str">
        <f>IF(D56="","",VLOOKUP(D56,'STOCK CONTROL SHEET'!Details,2,FALSE))</f>
        <v>Laminating Pouches</v>
      </c>
      <c r="F56" s="33" t="str">
        <f>IF(D56="","",VLOOKUP(D56,'STOCK CONTROL SHEET'!Details,3,FALSE))</f>
        <v>PCS</v>
      </c>
      <c r="G56" s="67">
        <v>4000</v>
      </c>
      <c r="H56" s="67" t="s">
        <v>262</v>
      </c>
      <c r="I56" s="50">
        <f>IF(UnitsTable[Type]="Receipt",(SUM(UnitsTable[[#This Row],[In&amp;Out Qty]])),(SUM(-INOUTQTY)))</f>
        <v>-4000</v>
      </c>
    </row>
    <row r="57" spans="1:9" x14ac:dyDescent="0.35">
      <c r="A57" s="65">
        <v>45852</v>
      </c>
      <c r="B57" s="66">
        <v>4900027313</v>
      </c>
      <c r="C57" s="20" t="s">
        <v>19</v>
      </c>
      <c r="D57" s="67">
        <v>100181</v>
      </c>
      <c r="E57" s="33" t="str">
        <f>IF(D57="","",VLOOKUP(D57,'STOCK CONTROL SHEET'!Details,2,FALSE))</f>
        <v>Registration Gen. Folders</v>
      </c>
      <c r="F57" s="33" t="str">
        <f>IF(D57="","",VLOOKUP(D57,'STOCK CONTROL SHEET'!Details,3,FALSE))</f>
        <v>PCS</v>
      </c>
      <c r="G57" s="67">
        <v>300</v>
      </c>
      <c r="H57" s="67" t="s">
        <v>262</v>
      </c>
      <c r="I57" s="50">
        <f>IF(UnitsTable[Type]="Receipt",(SUM(UnitsTable[[#This Row],[In&amp;Out Qty]])),(SUM(-INOUTQTY)))</f>
        <v>-300</v>
      </c>
    </row>
    <row r="58" spans="1:9" x14ac:dyDescent="0.35">
      <c r="A58" s="65">
        <v>45852</v>
      </c>
      <c r="B58" s="66">
        <v>4900027313</v>
      </c>
      <c r="C58" s="20" t="s">
        <v>19</v>
      </c>
      <c r="D58" s="67">
        <v>100211</v>
      </c>
      <c r="E58" s="33" t="str">
        <f>IF(D58="","",VLOOKUP(D58,'STOCK CONTROL SHEET'!Details,2,FALSE))</f>
        <v>Survivor Ben. Form</v>
      </c>
      <c r="F58" s="33" t="str">
        <f>IF(D58="","",VLOOKUP(D58,'STOCK CONTROL SHEET'!Details,3,FALSE))</f>
        <v>PCS</v>
      </c>
      <c r="G58" s="67">
        <v>200</v>
      </c>
      <c r="H58" s="67" t="s">
        <v>262</v>
      </c>
      <c r="I58" s="50">
        <f>IF(UnitsTable[Type]="Receipt",(SUM(UnitsTable[[#This Row],[In&amp;Out Qty]])),(SUM(-INOUTQTY)))</f>
        <v>-200</v>
      </c>
    </row>
    <row r="59" spans="1:9" x14ac:dyDescent="0.35">
      <c r="A59" s="65">
        <v>45852</v>
      </c>
      <c r="B59" s="66">
        <v>4900027313</v>
      </c>
      <c r="C59" s="20" t="s">
        <v>19</v>
      </c>
      <c r="D59" s="67">
        <v>100220</v>
      </c>
      <c r="E59" s="33" t="str">
        <f>IF(D59="","",VLOOKUP(D59,'STOCK CONTROL SHEET'!Details,2,FALSE))</f>
        <v>Payment of Benefit Forms/004</v>
      </c>
      <c r="F59" s="33" t="str">
        <f>IF(D59="","",VLOOKUP(D59,'STOCK CONTROL SHEET'!Details,3,FALSE))</f>
        <v>PCS</v>
      </c>
      <c r="G59" s="67">
        <v>500</v>
      </c>
      <c r="H59" s="67" t="s">
        <v>262</v>
      </c>
      <c r="I59" s="50">
        <f>IF(UnitsTable[Type]="Receipt",(SUM(UnitsTable[[#This Row],[In&amp;Out Qty]])),(SUM(-INOUTQTY)))</f>
        <v>-500</v>
      </c>
    </row>
    <row r="60" spans="1:9" x14ac:dyDescent="0.35">
      <c r="A60" s="65">
        <v>45852</v>
      </c>
      <c r="B60" s="66">
        <v>4900027313</v>
      </c>
      <c r="C60" s="20" t="s">
        <v>19</v>
      </c>
      <c r="D60" s="67">
        <v>100139</v>
      </c>
      <c r="E60" s="33" t="str">
        <f>IF(D60="","",VLOOKUP(D60,'STOCK CONTROL SHEET'!Details,2,FALSE))</f>
        <v>App. For Employer SF/001</v>
      </c>
      <c r="F60" s="33" t="str">
        <f>IF(D60="","",VLOOKUP(D60,'STOCK CONTROL SHEET'!Details,3,FALSE))</f>
        <v>PCS</v>
      </c>
      <c r="G60" s="67">
        <v>500</v>
      </c>
      <c r="H60" s="67" t="s">
        <v>262</v>
      </c>
      <c r="I60" s="50">
        <f>IF(UnitsTable[Type]="Receipt",(SUM(UnitsTable[[#This Row],[In&amp;Out Qty]])),(SUM(-INOUTQTY)))</f>
        <v>-500</v>
      </c>
    </row>
    <row r="61" spans="1:9" x14ac:dyDescent="0.35">
      <c r="A61" s="65">
        <v>45853</v>
      </c>
      <c r="B61" s="66">
        <v>4900027335</v>
      </c>
      <c r="C61" s="20" t="s">
        <v>19</v>
      </c>
      <c r="D61" s="67">
        <v>100123</v>
      </c>
      <c r="E61" s="33" t="str">
        <f>IF(D61="","",VLOOKUP(D61,'STOCK CONTROL SHEET'!Details,2,FALSE))</f>
        <v>Envelopes A4</v>
      </c>
      <c r="F61" s="33" t="str">
        <f>IF(D61="","",VLOOKUP(D61,'STOCK CONTROL SHEET'!Details,3,FALSE))</f>
        <v>PCS</v>
      </c>
      <c r="G61" s="67">
        <v>200</v>
      </c>
      <c r="H61" s="67" t="s">
        <v>263</v>
      </c>
      <c r="I61" s="50">
        <f>IF(UnitsTable[Type]="Receipt",(SUM(UnitsTable[[#This Row],[In&amp;Out Qty]])),(SUM(-INOUTQTY)))</f>
        <v>-200</v>
      </c>
    </row>
    <row r="62" spans="1:9" x14ac:dyDescent="0.35">
      <c r="A62" s="65">
        <v>45853</v>
      </c>
      <c r="B62" s="66">
        <v>4900027335</v>
      </c>
      <c r="C62" s="20" t="s">
        <v>19</v>
      </c>
      <c r="D62" s="67">
        <v>100124</v>
      </c>
      <c r="E62" s="33" t="str">
        <f>IF(D62="","",VLOOKUP(D62,'STOCK CONTROL SHEET'!Details,2,FALSE))</f>
        <v>Envelopes A3 (16*12) White</v>
      </c>
      <c r="F62" s="33" t="str">
        <f>IF(D62="","",VLOOKUP(D62,'STOCK CONTROL SHEET'!Details,3,FALSE))</f>
        <v>PCS</v>
      </c>
      <c r="G62" s="67">
        <v>200</v>
      </c>
      <c r="H62" s="67" t="s">
        <v>263</v>
      </c>
      <c r="I62" s="50">
        <f>IF(UnitsTable[Type]="Receipt",(SUM(UnitsTable[[#This Row],[In&amp;Out Qty]])),(SUM(-INOUTQTY)))</f>
        <v>-200</v>
      </c>
    </row>
    <row r="63" spans="1:9" x14ac:dyDescent="0.35">
      <c r="A63" s="65">
        <v>45853</v>
      </c>
      <c r="B63" s="66">
        <v>4900027335</v>
      </c>
      <c r="C63" s="20" t="s">
        <v>19</v>
      </c>
      <c r="D63" s="67">
        <v>100122</v>
      </c>
      <c r="E63" s="33" t="str">
        <f>IF(D63="","",VLOOKUP(D63,'STOCK CONTROL SHEET'!Details,2,FALSE))</f>
        <v>Envelopes A5</v>
      </c>
      <c r="F63" s="33" t="str">
        <f>IF(D63="","",VLOOKUP(D63,'STOCK CONTROL SHEET'!Details,3,FALSE))</f>
        <v>PCS</v>
      </c>
      <c r="G63" s="67">
        <v>100</v>
      </c>
      <c r="H63" s="67" t="s">
        <v>263</v>
      </c>
      <c r="I63" s="50">
        <f>IF(UnitsTable[Type]="Receipt",(SUM(UnitsTable[[#This Row],[In&amp;Out Qty]])),(SUM(-INOUTQTY)))</f>
        <v>-100</v>
      </c>
    </row>
    <row r="64" spans="1:9" x14ac:dyDescent="0.35">
      <c r="A64" s="65">
        <v>45853</v>
      </c>
      <c r="B64" s="66">
        <v>4900027348</v>
      </c>
      <c r="C64" s="20" t="s">
        <v>19</v>
      </c>
      <c r="D64" s="67">
        <v>100145</v>
      </c>
      <c r="E64" s="33" t="str">
        <f>IF(D64="","",VLOOKUP(D64,'STOCK CONTROL SHEET'!Details,2,FALSE))</f>
        <v>Membership Cards (Blank)</v>
      </c>
      <c r="F64" s="33" t="str">
        <f>IF(D64="","",VLOOKUP(D64,'STOCK CONTROL SHEET'!Details,3,FALSE))</f>
        <v>PCS</v>
      </c>
      <c r="G64" s="67">
        <v>1000</v>
      </c>
      <c r="H64" s="67" t="s">
        <v>263</v>
      </c>
      <c r="I64" s="50">
        <f>IF(UnitsTable[Type]="Receipt",(SUM(UnitsTable[[#This Row],[In&amp;Out Qty]])),(SUM(-INOUTQTY)))</f>
        <v>-1000</v>
      </c>
    </row>
    <row r="65" spans="1:9" x14ac:dyDescent="0.35">
      <c r="A65" s="65">
        <v>45853</v>
      </c>
      <c r="B65" s="66">
        <v>4900027342</v>
      </c>
      <c r="C65" s="20" t="s">
        <v>19</v>
      </c>
      <c r="D65" s="67">
        <v>100123</v>
      </c>
      <c r="E65" s="33" t="str">
        <f>IF(D65="","",VLOOKUP(D65,'STOCK CONTROL SHEET'!Details,2,FALSE))</f>
        <v>Envelopes A4</v>
      </c>
      <c r="F65" s="33" t="str">
        <f>IF(D65="","",VLOOKUP(D65,'STOCK CONTROL SHEET'!Details,3,FALSE))</f>
        <v>PCS</v>
      </c>
      <c r="G65" s="67">
        <v>500</v>
      </c>
      <c r="H65" s="67" t="s">
        <v>264</v>
      </c>
      <c r="I65" s="50">
        <f>IF(UnitsTable[Type]="Receipt",(SUM(UnitsTable[[#This Row],[In&amp;Out Qty]])),(SUM(-INOUTQTY)))</f>
        <v>-500</v>
      </c>
    </row>
    <row r="66" spans="1:9" x14ac:dyDescent="0.35">
      <c r="A66" s="65">
        <v>45853</v>
      </c>
      <c r="B66" s="66">
        <v>4900027342</v>
      </c>
      <c r="C66" s="20" t="s">
        <v>19</v>
      </c>
      <c r="D66" s="67">
        <v>100122</v>
      </c>
      <c r="E66" s="33" t="str">
        <f>IF(D66="","",VLOOKUP(D66,'STOCK CONTROL SHEET'!Details,2,FALSE))</f>
        <v>Envelopes A5</v>
      </c>
      <c r="F66" s="33" t="str">
        <f>IF(D66="","",VLOOKUP(D66,'STOCK CONTROL SHEET'!Details,3,FALSE))</f>
        <v>PCS</v>
      </c>
      <c r="G66" s="67">
        <v>500</v>
      </c>
      <c r="H66" s="67" t="s">
        <v>264</v>
      </c>
      <c r="I66" s="50">
        <f>IF(UnitsTable[Type]="Receipt",(SUM(UnitsTable[[#This Row],[In&amp;Out Qty]])),(SUM(-INOUTQTY)))</f>
        <v>-500</v>
      </c>
    </row>
    <row r="67" spans="1:9" x14ac:dyDescent="0.35">
      <c r="A67" s="65">
        <v>45853</v>
      </c>
      <c r="B67" s="66">
        <v>4900027347</v>
      </c>
      <c r="C67" s="20" t="s">
        <v>19</v>
      </c>
      <c r="D67" s="67">
        <v>100122</v>
      </c>
      <c r="E67" s="33" t="str">
        <f>IF(D67="","",VLOOKUP(D67,'STOCK CONTROL SHEET'!Details,2,FALSE))</f>
        <v>Envelopes A5</v>
      </c>
      <c r="F67" s="33" t="str">
        <f>IF(D67="","",VLOOKUP(D67,'STOCK CONTROL SHEET'!Details,3,FALSE))</f>
        <v>PCS</v>
      </c>
      <c r="G67" s="67">
        <v>200</v>
      </c>
      <c r="H67" s="67" t="s">
        <v>265</v>
      </c>
      <c r="I67" s="50">
        <f>IF(UnitsTable[Type]="Receipt",(SUM(UnitsTable[[#This Row],[In&amp;Out Qty]])),(SUM(-INOUTQTY)))</f>
        <v>-200</v>
      </c>
    </row>
    <row r="68" spans="1:9" x14ac:dyDescent="0.35">
      <c r="A68" s="65">
        <v>45853</v>
      </c>
      <c r="B68" s="66">
        <v>4900027347</v>
      </c>
      <c r="C68" s="20" t="s">
        <v>19</v>
      </c>
      <c r="D68" s="67">
        <v>100155</v>
      </c>
      <c r="E68" s="33" t="str">
        <f>IF(D68="","",VLOOKUP(D68,'STOCK CONTROL SHEET'!Details,2,FALSE))</f>
        <v>Finance Account Folders</v>
      </c>
      <c r="F68" s="33" t="str">
        <f>IF(D68="","",VLOOKUP(D68,'STOCK CONTROL SHEET'!Details,3,FALSE))</f>
        <v>PCS</v>
      </c>
      <c r="G68" s="67">
        <v>60</v>
      </c>
      <c r="H68" s="67" t="s">
        <v>265</v>
      </c>
      <c r="I68" s="50">
        <f>IF(UnitsTable[Type]="Receipt",(SUM(UnitsTable[[#This Row],[In&amp;Out Qty]])),(SUM(-INOUTQTY)))</f>
        <v>-60</v>
      </c>
    </row>
    <row r="69" spans="1:9" x14ac:dyDescent="0.35">
      <c r="A69" s="65">
        <v>45853</v>
      </c>
      <c r="B69" s="66">
        <v>4900027352</v>
      </c>
      <c r="C69" s="20" t="s">
        <v>19</v>
      </c>
      <c r="D69" s="67">
        <v>100122</v>
      </c>
      <c r="E69" s="33" t="str">
        <f>IF(D69="","",VLOOKUP(D69,'STOCK CONTROL SHEET'!Details,2,FALSE))</f>
        <v>Envelopes A5</v>
      </c>
      <c r="F69" s="33" t="str">
        <f>IF(D69="","",VLOOKUP(D69,'STOCK CONTROL SHEET'!Details,3,FALSE))</f>
        <v>PCS</v>
      </c>
      <c r="G69" s="67">
        <v>500</v>
      </c>
      <c r="H69" s="67" t="s">
        <v>266</v>
      </c>
      <c r="I69" s="50">
        <f>IF(UnitsTable[Type]="Receipt",(SUM(UnitsTable[[#This Row],[In&amp;Out Qty]])),(SUM(-INOUTQTY)))</f>
        <v>-500</v>
      </c>
    </row>
    <row r="70" spans="1:9" x14ac:dyDescent="0.35">
      <c r="A70" s="65">
        <v>45853</v>
      </c>
      <c r="B70" s="66">
        <v>4900027352</v>
      </c>
      <c r="C70" s="20" t="s">
        <v>19</v>
      </c>
      <c r="D70" s="67">
        <v>100123</v>
      </c>
      <c r="E70" s="33" t="str">
        <f>IF(D70="","",VLOOKUP(D70,'STOCK CONTROL SHEET'!Details,2,FALSE))</f>
        <v>Envelopes A4</v>
      </c>
      <c r="F70" s="33" t="str">
        <f>IF(D70="","",VLOOKUP(D70,'STOCK CONTROL SHEET'!Details,3,FALSE))</f>
        <v>PCS</v>
      </c>
      <c r="G70" s="67">
        <v>500</v>
      </c>
      <c r="H70" s="67" t="s">
        <v>266</v>
      </c>
      <c r="I70" s="50">
        <f>IF(UnitsTable[Type]="Receipt",(SUM(UnitsTable[[#This Row],[In&amp;Out Qty]])),(SUM(-INOUTQTY)))</f>
        <v>-500</v>
      </c>
    </row>
    <row r="71" spans="1:9" x14ac:dyDescent="0.35">
      <c r="A71" s="65">
        <v>45853</v>
      </c>
      <c r="B71" s="66">
        <v>4900027333</v>
      </c>
      <c r="C71" s="20" t="s">
        <v>19</v>
      </c>
      <c r="D71" s="67">
        <v>100123</v>
      </c>
      <c r="E71" s="33" t="str">
        <f>IF(D71="","",VLOOKUP(D71,'STOCK CONTROL SHEET'!Details,2,FALSE))</f>
        <v>Envelopes A4</v>
      </c>
      <c r="F71" s="33" t="str">
        <f>IF(D71="","",VLOOKUP(D71,'STOCK CONTROL SHEET'!Details,3,FALSE))</f>
        <v>PCS</v>
      </c>
      <c r="G71" s="67">
        <v>100</v>
      </c>
      <c r="H71" s="67" t="s">
        <v>267</v>
      </c>
      <c r="I71" s="50">
        <f>IF(UnitsTable[Type]="Receipt",(SUM(UnitsTable[[#This Row],[In&amp;Out Qty]])),(SUM(-INOUTQTY)))</f>
        <v>-100</v>
      </c>
    </row>
    <row r="72" spans="1:9" x14ac:dyDescent="0.35">
      <c r="A72" s="65">
        <v>45854</v>
      </c>
      <c r="B72" s="66">
        <v>4900027367</v>
      </c>
      <c r="C72" s="20" t="s">
        <v>19</v>
      </c>
      <c r="D72" s="67">
        <v>100123</v>
      </c>
      <c r="E72" s="33" t="str">
        <f>IF(D72="","",VLOOKUP(D72,'STOCK CONTROL SHEET'!Details,2,FALSE))</f>
        <v>Envelopes A4</v>
      </c>
      <c r="F72" s="33" t="str">
        <f>IF(D72="","",VLOOKUP(D72,'STOCK CONTROL SHEET'!Details,3,FALSE))</f>
        <v>PCS</v>
      </c>
      <c r="G72" s="67">
        <v>100</v>
      </c>
      <c r="H72" s="67" t="s">
        <v>268</v>
      </c>
      <c r="I72" s="50">
        <f>IF(UnitsTable[Type]="Receipt",(SUM(UnitsTable[[#This Row],[In&amp;Out Qty]])),(SUM(-INOUTQTY)))</f>
        <v>-100</v>
      </c>
    </row>
    <row r="73" spans="1:9" x14ac:dyDescent="0.35">
      <c r="A73" s="65">
        <v>45854</v>
      </c>
      <c r="B73" s="66">
        <v>4900027367</v>
      </c>
      <c r="C73" s="20" t="s">
        <v>19</v>
      </c>
      <c r="D73" s="67">
        <v>100122</v>
      </c>
      <c r="E73" s="33" t="str">
        <f>IF(D73="","",VLOOKUP(D73,'STOCK CONTROL SHEET'!Details,2,FALSE))</f>
        <v>Envelopes A5</v>
      </c>
      <c r="F73" s="33" t="str">
        <f>IF(D73="","",VLOOKUP(D73,'STOCK CONTROL SHEET'!Details,3,FALSE))</f>
        <v>PCS</v>
      </c>
      <c r="G73" s="67">
        <v>50</v>
      </c>
      <c r="H73" s="67" t="s">
        <v>268</v>
      </c>
      <c r="I73" s="50">
        <f>IF(UnitsTable[Type]="Receipt",(SUM(UnitsTable[[#This Row],[In&amp;Out Qty]])),(SUM(-INOUTQTY)))</f>
        <v>-50</v>
      </c>
    </row>
    <row r="74" spans="1:9" x14ac:dyDescent="0.35">
      <c r="A74" s="65">
        <v>45854</v>
      </c>
      <c r="B74" s="66">
        <v>4900027358</v>
      </c>
      <c r="C74" s="20" t="s">
        <v>19</v>
      </c>
      <c r="D74" s="67">
        <v>100124</v>
      </c>
      <c r="E74" s="33" t="str">
        <f>IF(D74="","",VLOOKUP(D74,'STOCK CONTROL SHEET'!Details,2,FALSE))</f>
        <v>Envelopes A3 (16*12) White</v>
      </c>
      <c r="F74" s="33" t="str">
        <f>IF(D74="","",VLOOKUP(D74,'STOCK CONTROL SHEET'!Details,3,FALSE))</f>
        <v>PCS</v>
      </c>
      <c r="G74" s="67">
        <v>50</v>
      </c>
      <c r="H74" s="67" t="s">
        <v>269</v>
      </c>
      <c r="I74" s="50">
        <f>IF(UnitsTable[Type]="Receipt",(SUM(UnitsTable[[#This Row],[In&amp;Out Qty]])),(SUM(-INOUTQTY)))</f>
        <v>-50</v>
      </c>
    </row>
    <row r="75" spans="1:9" x14ac:dyDescent="0.35">
      <c r="A75" s="65">
        <v>45854</v>
      </c>
      <c r="B75" s="66">
        <v>4900027358</v>
      </c>
      <c r="C75" s="20" t="s">
        <v>19</v>
      </c>
      <c r="D75" s="67">
        <v>100122</v>
      </c>
      <c r="E75" s="33" t="str">
        <f>IF(D75="","",VLOOKUP(D75,'STOCK CONTROL SHEET'!Details,2,FALSE))</f>
        <v>Envelopes A5</v>
      </c>
      <c r="F75" s="33" t="str">
        <f>IF(D75="","",VLOOKUP(D75,'STOCK CONTROL SHEET'!Details,3,FALSE))</f>
        <v>PCS</v>
      </c>
      <c r="G75" s="67">
        <v>10</v>
      </c>
      <c r="H75" s="67" t="s">
        <v>269</v>
      </c>
      <c r="I75" s="50">
        <f>IF(UnitsTable[Type]="Receipt",(SUM(UnitsTable[[#This Row],[In&amp;Out Qty]])),(SUM(-INOUTQTY)))</f>
        <v>-10</v>
      </c>
    </row>
    <row r="76" spans="1:9" x14ac:dyDescent="0.35">
      <c r="A76" s="65">
        <v>45855</v>
      </c>
      <c r="B76" s="66">
        <v>4900027383</v>
      </c>
      <c r="C76" s="20" t="s">
        <v>19</v>
      </c>
      <c r="D76" s="67">
        <v>100123</v>
      </c>
      <c r="E76" s="33" t="str">
        <f>IF(D76="","",VLOOKUP(D76,'STOCK CONTROL SHEET'!Details,2,FALSE))</f>
        <v>Envelopes A4</v>
      </c>
      <c r="F76" s="33" t="str">
        <f>IF(D76="","",VLOOKUP(D76,'STOCK CONTROL SHEET'!Details,3,FALSE))</f>
        <v>PCS</v>
      </c>
      <c r="G76" s="67">
        <v>200</v>
      </c>
      <c r="H76" s="67" t="s">
        <v>270</v>
      </c>
      <c r="I76" s="50">
        <f>IF(UnitsTable[Type]="Receipt",(SUM(UnitsTable[[#This Row],[In&amp;Out Qty]])),(SUM(-INOUTQTY)))</f>
        <v>-200</v>
      </c>
    </row>
    <row r="77" spans="1:9" x14ac:dyDescent="0.35">
      <c r="A77" s="65">
        <v>45855</v>
      </c>
      <c r="B77" s="66">
        <v>4900027383</v>
      </c>
      <c r="C77" s="20" t="s">
        <v>19</v>
      </c>
      <c r="D77" s="67">
        <v>100122</v>
      </c>
      <c r="E77" s="33" t="str">
        <f>IF(D77="","",VLOOKUP(D77,'STOCK CONTROL SHEET'!Details,2,FALSE))</f>
        <v>Envelopes A5</v>
      </c>
      <c r="F77" s="33" t="str">
        <f>IF(D77="","",VLOOKUP(D77,'STOCK CONTROL SHEET'!Details,3,FALSE))</f>
        <v>PCS</v>
      </c>
      <c r="G77" s="67">
        <v>200</v>
      </c>
      <c r="H77" s="67" t="s">
        <v>270</v>
      </c>
      <c r="I77" s="50">
        <f>IF(UnitsTable[Type]="Receipt",(SUM(UnitsTable[[#This Row],[In&amp;Out Qty]])),(SUM(-INOUTQTY)))</f>
        <v>-200</v>
      </c>
    </row>
    <row r="78" spans="1:9" x14ac:dyDescent="0.35">
      <c r="A78" s="65">
        <v>45855</v>
      </c>
      <c r="B78" s="66">
        <v>4900027387</v>
      </c>
      <c r="C78" s="20" t="s">
        <v>19</v>
      </c>
      <c r="D78" s="67">
        <v>100145</v>
      </c>
      <c r="E78" s="33" t="str">
        <f>IF(D78="","",VLOOKUP(D78,'STOCK CONTROL SHEET'!Details,2,FALSE))</f>
        <v>Membership Cards (Blank)</v>
      </c>
      <c r="F78" s="33" t="str">
        <f>IF(D78="","",VLOOKUP(D78,'STOCK CONTROL SHEET'!Details,3,FALSE))</f>
        <v>PCS</v>
      </c>
      <c r="G78" s="67">
        <v>3000</v>
      </c>
      <c r="H78" s="67" t="s">
        <v>257</v>
      </c>
      <c r="I78" s="50">
        <f>IF(UnitsTable[Type]="Receipt",(SUM(UnitsTable[[#This Row],[In&amp;Out Qty]])),(SUM(-INOUTQTY)))</f>
        <v>-3000</v>
      </c>
    </row>
    <row r="79" spans="1:9" x14ac:dyDescent="0.35">
      <c r="A79" s="65">
        <v>45855</v>
      </c>
      <c r="B79" s="66">
        <v>4900027387</v>
      </c>
      <c r="C79" s="20" t="s">
        <v>19</v>
      </c>
      <c r="D79" s="67">
        <v>100143</v>
      </c>
      <c r="E79" s="33" t="str">
        <f>IF(D79="","",VLOOKUP(D79,'STOCK CONTROL SHEET'!Details,2,FALSE))</f>
        <v>Laminating Pouches</v>
      </c>
      <c r="F79" s="33" t="str">
        <f>IF(D79="","",VLOOKUP(D79,'STOCK CONTROL SHEET'!Details,3,FALSE))</f>
        <v>PCS</v>
      </c>
      <c r="G79" s="67">
        <v>3000</v>
      </c>
      <c r="H79" s="67" t="s">
        <v>257</v>
      </c>
      <c r="I79" s="50">
        <f>IF(UnitsTable[Type]="Receipt",(SUM(UnitsTable[[#This Row],[In&amp;Out Qty]])),(SUM(-INOUTQTY)))</f>
        <v>-3000</v>
      </c>
    </row>
    <row r="80" spans="1:9" x14ac:dyDescent="0.35">
      <c r="A80" s="65">
        <v>45855</v>
      </c>
      <c r="B80" s="66">
        <v>4900027387</v>
      </c>
      <c r="C80" s="20" t="s">
        <v>19</v>
      </c>
      <c r="D80" s="67">
        <v>100139</v>
      </c>
      <c r="E80" s="33" t="str">
        <f>IF(D80="","",VLOOKUP(D80,'STOCK CONTROL SHEET'!Details,2,FALSE))</f>
        <v>App. For Employer SF/001</v>
      </c>
      <c r="F80" s="33" t="str">
        <f>IF(D80="","",VLOOKUP(D80,'STOCK CONTROL SHEET'!Details,3,FALSE))</f>
        <v>PCS</v>
      </c>
      <c r="G80" s="67">
        <v>500</v>
      </c>
      <c r="H80" s="67" t="s">
        <v>257</v>
      </c>
      <c r="I80" s="50">
        <f>IF(UnitsTable[Type]="Receipt",(SUM(UnitsTable[[#This Row],[In&amp;Out Qty]])),(SUM(-INOUTQTY)))</f>
        <v>-500</v>
      </c>
    </row>
    <row r="81" spans="1:9" x14ac:dyDescent="0.35">
      <c r="A81" s="65">
        <v>45855</v>
      </c>
      <c r="B81" s="66">
        <v>4900027390</v>
      </c>
      <c r="C81" s="20" t="s">
        <v>19</v>
      </c>
      <c r="D81" s="67">
        <v>100181</v>
      </c>
      <c r="E81" s="33" t="str">
        <f>IF(D81="","",VLOOKUP(D81,'STOCK CONTROL SHEET'!Details,2,FALSE))</f>
        <v>Registration Gen. Folders</v>
      </c>
      <c r="F81" s="33" t="str">
        <f>IF(D81="","",VLOOKUP(D81,'STOCK CONTROL SHEET'!Details,3,FALSE))</f>
        <v>PCS</v>
      </c>
      <c r="G81" s="67">
        <v>300</v>
      </c>
      <c r="H81" s="67" t="s">
        <v>257</v>
      </c>
      <c r="I81" s="50">
        <f>IF(UnitsTable[Type]="Receipt",(SUM(UnitsTable[[#This Row],[In&amp;Out Qty]])),(SUM(-INOUTQTY)))</f>
        <v>-300</v>
      </c>
    </row>
    <row r="82" spans="1:9" x14ac:dyDescent="0.35">
      <c r="A82" s="65">
        <v>45855</v>
      </c>
      <c r="B82" s="66">
        <v>4900027402</v>
      </c>
      <c r="C82" s="20" t="s">
        <v>19</v>
      </c>
      <c r="D82" s="67">
        <v>100181</v>
      </c>
      <c r="E82" s="33" t="str">
        <f>IF(D82="","",VLOOKUP(D82,'STOCK CONTROL SHEET'!Details,2,FALSE))</f>
        <v>Registration Gen. Folders</v>
      </c>
      <c r="F82" s="33" t="str">
        <f>IF(D82="","",VLOOKUP(D82,'STOCK CONTROL SHEET'!Details,3,FALSE))</f>
        <v>PCS</v>
      </c>
      <c r="G82" s="67">
        <v>200</v>
      </c>
      <c r="H82" s="67" t="s">
        <v>271</v>
      </c>
      <c r="I82" s="50">
        <f>IF(UnitsTable[Type]="Receipt",(SUM(UnitsTable[[#This Row],[In&amp;Out Qty]])),(SUM(-INOUTQTY)))</f>
        <v>-200</v>
      </c>
    </row>
    <row r="83" spans="1:9" x14ac:dyDescent="0.35">
      <c r="A83" s="65">
        <v>45855</v>
      </c>
      <c r="B83" s="66">
        <v>4900027402</v>
      </c>
      <c r="C83" s="20" t="s">
        <v>19</v>
      </c>
      <c r="D83" s="67">
        <v>100145</v>
      </c>
      <c r="E83" s="33" t="str">
        <f>IF(D83="","",VLOOKUP(D83,'STOCK CONTROL SHEET'!Details,2,FALSE))</f>
        <v>Membership Cards (Blank)</v>
      </c>
      <c r="F83" s="33" t="str">
        <f>IF(D83="","",VLOOKUP(D83,'STOCK CONTROL SHEET'!Details,3,FALSE))</f>
        <v>PCS</v>
      </c>
      <c r="G83" s="67">
        <v>2000</v>
      </c>
      <c r="H83" s="67" t="s">
        <v>271</v>
      </c>
      <c r="I83" s="50">
        <f>IF(UnitsTable[Type]="Receipt",(SUM(UnitsTable[[#This Row],[In&amp;Out Qty]])),(SUM(-INOUTQTY)))</f>
        <v>-2000</v>
      </c>
    </row>
    <row r="84" spans="1:9" x14ac:dyDescent="0.35">
      <c r="A84" s="65">
        <v>45855</v>
      </c>
      <c r="B84" s="66">
        <v>4900027402</v>
      </c>
      <c r="C84" s="20" t="s">
        <v>19</v>
      </c>
      <c r="D84" s="67">
        <v>100139</v>
      </c>
      <c r="E84" s="33" t="str">
        <f>IF(D84="","",VLOOKUP(D84,'STOCK CONTROL SHEET'!Details,2,FALSE))</f>
        <v>App. For Employer SF/001</v>
      </c>
      <c r="F84" s="33" t="str">
        <f>IF(D84="","",VLOOKUP(D84,'STOCK CONTROL SHEET'!Details,3,FALSE))</f>
        <v>PCS</v>
      </c>
      <c r="G84" s="67">
        <v>500</v>
      </c>
      <c r="H84" s="67" t="s">
        <v>271</v>
      </c>
      <c r="I84" s="50">
        <f>IF(UnitsTable[Type]="Receipt",(SUM(UnitsTable[[#This Row],[In&amp;Out Qty]])),(SUM(-INOUTQTY)))</f>
        <v>-500</v>
      </c>
    </row>
    <row r="85" spans="1:9" x14ac:dyDescent="0.35">
      <c r="A85" s="65">
        <v>45855</v>
      </c>
      <c r="B85" s="66">
        <v>4900027402</v>
      </c>
      <c r="C85" s="20" t="s">
        <v>19</v>
      </c>
      <c r="D85" s="67">
        <v>100218</v>
      </c>
      <c r="E85" s="33" t="str">
        <f>IF(D85="","",VLOOKUP(D85,'STOCK CONTROL SHEET'!Details,2,FALSE))</f>
        <v>Ben. App. Forms SF/001</v>
      </c>
      <c r="F85" s="33" t="str">
        <f>IF(D85="","",VLOOKUP(D85,'STOCK CONTROL SHEET'!Details,3,FALSE))</f>
        <v>PCS</v>
      </c>
      <c r="G85" s="67">
        <v>400</v>
      </c>
      <c r="H85" s="67" t="s">
        <v>271</v>
      </c>
      <c r="I85" s="50">
        <f>IF(UnitsTable[Type]="Receipt",(SUM(UnitsTable[[#This Row],[In&amp;Out Qty]])),(SUM(-INOUTQTY)))</f>
        <v>-400</v>
      </c>
    </row>
    <row r="86" spans="1:9" x14ac:dyDescent="0.35">
      <c r="A86" s="65">
        <v>45856</v>
      </c>
      <c r="B86" s="66">
        <v>4900027409</v>
      </c>
      <c r="C86" s="20" t="s">
        <v>19</v>
      </c>
      <c r="D86" s="67">
        <v>100181</v>
      </c>
      <c r="E86" s="33" t="str">
        <f>IF(D86="","",VLOOKUP(D86,'STOCK CONTROL SHEET'!Details,2,FALSE))</f>
        <v>Registration Gen. Folders</v>
      </c>
      <c r="F86" s="33" t="str">
        <f>IF(D86="","",VLOOKUP(D86,'STOCK CONTROL SHEET'!Details,3,FALSE))</f>
        <v>PCS</v>
      </c>
      <c r="G86" s="67">
        <v>200</v>
      </c>
      <c r="H86" s="67" t="s">
        <v>272</v>
      </c>
      <c r="I86" s="50">
        <f>IF(UnitsTable[Type]="Receipt",(SUM(UnitsTable[[#This Row],[In&amp;Out Qty]])),(SUM(-INOUTQTY)))</f>
        <v>-200</v>
      </c>
    </row>
    <row r="87" spans="1:9" x14ac:dyDescent="0.35">
      <c r="A87" s="65">
        <v>45856</v>
      </c>
      <c r="B87" s="66">
        <v>4900027409</v>
      </c>
      <c r="C87" s="20" t="s">
        <v>19</v>
      </c>
      <c r="D87" s="67">
        <v>100218</v>
      </c>
      <c r="E87" s="33" t="str">
        <f>IF(D87="","",VLOOKUP(D87,'STOCK CONTROL SHEET'!Details,2,FALSE))</f>
        <v>Ben. App. Forms SF/001</v>
      </c>
      <c r="F87" s="33" t="str">
        <f>IF(D87="","",VLOOKUP(D87,'STOCK CONTROL SHEET'!Details,3,FALSE))</f>
        <v>PCS</v>
      </c>
      <c r="G87" s="67">
        <v>300</v>
      </c>
      <c r="H87" s="67" t="s">
        <v>272</v>
      </c>
      <c r="I87" s="50">
        <f>IF(UnitsTable[Type]="Receipt",(SUM(UnitsTable[[#This Row],[In&amp;Out Qty]])),(SUM(-INOUTQTY)))</f>
        <v>-300</v>
      </c>
    </row>
    <row r="88" spans="1:9" x14ac:dyDescent="0.35">
      <c r="A88" s="65">
        <v>45856</v>
      </c>
      <c r="B88" s="66">
        <v>4900027409</v>
      </c>
      <c r="C88" s="20" t="s">
        <v>19</v>
      </c>
      <c r="D88" s="67">
        <v>100220</v>
      </c>
      <c r="E88" s="33" t="str">
        <f>IF(D88="","",VLOOKUP(D88,'STOCK CONTROL SHEET'!Details,2,FALSE))</f>
        <v>Payment of Benefit Forms/004</v>
      </c>
      <c r="F88" s="33" t="str">
        <f>IF(D88="","",VLOOKUP(D88,'STOCK CONTROL SHEET'!Details,3,FALSE))</f>
        <v>PCS</v>
      </c>
      <c r="G88" s="67">
        <v>300</v>
      </c>
      <c r="H88" s="67" t="s">
        <v>272</v>
      </c>
      <c r="I88" s="50">
        <f>IF(UnitsTable[Type]="Receipt",(SUM(UnitsTable[[#This Row],[In&amp;Out Qty]])),(SUM(-INOUTQTY)))</f>
        <v>-300</v>
      </c>
    </row>
    <row r="89" spans="1:9" x14ac:dyDescent="0.35">
      <c r="A89" s="65">
        <v>45856</v>
      </c>
      <c r="B89" s="66">
        <v>4900027418</v>
      </c>
      <c r="C89" s="20" t="s">
        <v>19</v>
      </c>
      <c r="D89" s="67">
        <v>100145</v>
      </c>
      <c r="E89" s="33" t="str">
        <f>IF(D89="","",VLOOKUP(D89,'STOCK CONTROL SHEET'!Details,2,FALSE))</f>
        <v>Membership Cards (Blank)</v>
      </c>
      <c r="F89" s="33" t="str">
        <f>IF(D89="","",VLOOKUP(D89,'STOCK CONTROL SHEET'!Details,3,FALSE))</f>
        <v>PCS</v>
      </c>
      <c r="G89" s="67">
        <v>3000</v>
      </c>
      <c r="H89" s="67" t="s">
        <v>256</v>
      </c>
      <c r="I89" s="50">
        <f>IF(UnitsTable[Type]="Receipt",(SUM(UnitsTable[[#This Row],[In&amp;Out Qty]])),(SUM(-INOUTQTY)))</f>
        <v>-3000</v>
      </c>
    </row>
    <row r="90" spans="1:9" x14ac:dyDescent="0.35">
      <c r="A90" s="65">
        <v>45856</v>
      </c>
      <c r="B90" s="66">
        <v>4900027411</v>
      </c>
      <c r="C90" s="20" t="s">
        <v>19</v>
      </c>
      <c r="D90" s="67">
        <v>100211</v>
      </c>
      <c r="E90" s="33" t="str">
        <f>IF(D90="","",VLOOKUP(D90,'STOCK CONTROL SHEET'!Details,2,FALSE))</f>
        <v>Survivor Ben. Form</v>
      </c>
      <c r="F90" s="33" t="str">
        <f>IF(D90="","",VLOOKUP(D90,'STOCK CONTROL SHEET'!Details,3,FALSE))</f>
        <v>PCS</v>
      </c>
      <c r="G90" s="67">
        <v>200</v>
      </c>
      <c r="H90" s="67" t="s">
        <v>272</v>
      </c>
      <c r="I90" s="50">
        <f>IF(UnitsTable[Type]="Receipt",(SUM(UnitsTable[[#This Row],[In&amp;Out Qty]])),(SUM(-INOUTQTY)))</f>
        <v>-200</v>
      </c>
    </row>
    <row r="91" spans="1:9" x14ac:dyDescent="0.35">
      <c r="A91" s="65">
        <v>45859</v>
      </c>
      <c r="B91" s="66">
        <v>4900027420</v>
      </c>
      <c r="C91" s="20" t="s">
        <v>19</v>
      </c>
      <c r="D91" s="67">
        <v>100218</v>
      </c>
      <c r="E91" s="33" t="str">
        <f>IF(D91="","",VLOOKUP(D91,'STOCK CONTROL SHEET'!Details,2,FALSE))</f>
        <v>Ben. App. Forms SF/001</v>
      </c>
      <c r="F91" s="33" t="str">
        <f>IF(D91="","",VLOOKUP(D91,'STOCK CONTROL SHEET'!Details,3,FALSE))</f>
        <v>PCS</v>
      </c>
      <c r="G91" s="67">
        <v>500</v>
      </c>
      <c r="H91" s="67" t="s">
        <v>273</v>
      </c>
      <c r="I91" s="50">
        <f>IF(UnitsTable[Type]="Receipt",(SUM(UnitsTable[[#This Row],[In&amp;Out Qty]])),(SUM(-INOUTQTY)))</f>
        <v>-500</v>
      </c>
    </row>
    <row r="92" spans="1:9" x14ac:dyDescent="0.35">
      <c r="A92" s="65">
        <v>45859</v>
      </c>
      <c r="B92" s="66">
        <v>4900027425</v>
      </c>
      <c r="C92" s="20" t="s">
        <v>19</v>
      </c>
      <c r="D92" s="67">
        <v>100181</v>
      </c>
      <c r="E92" s="33" t="str">
        <f>IF(D92="","",VLOOKUP(D92,'STOCK CONTROL SHEET'!Details,2,FALSE))</f>
        <v>Registration Gen. Folders</v>
      </c>
      <c r="F92" s="33" t="str">
        <f>IF(D92="","",VLOOKUP(D92,'STOCK CONTROL SHEET'!Details,3,FALSE))</f>
        <v>PCS</v>
      </c>
      <c r="G92" s="67">
        <v>300</v>
      </c>
      <c r="H92" s="67" t="s">
        <v>253</v>
      </c>
      <c r="I92" s="50">
        <f>IF(UnitsTable[Type]="Receipt",(SUM(UnitsTable[[#This Row],[In&amp;Out Qty]])),(SUM(-INOUTQTY)))</f>
        <v>-300</v>
      </c>
    </row>
    <row r="93" spans="1:9" x14ac:dyDescent="0.35">
      <c r="A93" s="65">
        <v>45859</v>
      </c>
      <c r="B93" s="66">
        <v>4900027425</v>
      </c>
      <c r="C93" s="20" t="s">
        <v>19</v>
      </c>
      <c r="D93" s="67">
        <v>100218</v>
      </c>
      <c r="E93" s="33" t="str">
        <f>IF(D93="","",VLOOKUP(D93,'STOCK CONTROL SHEET'!Details,2,FALSE))</f>
        <v>Ben. App. Forms SF/001</v>
      </c>
      <c r="F93" s="33" t="str">
        <f>IF(D93="","",VLOOKUP(D93,'STOCK CONTROL SHEET'!Details,3,FALSE))</f>
        <v>PCS</v>
      </c>
      <c r="G93" s="67">
        <v>300</v>
      </c>
      <c r="H93" s="67" t="s">
        <v>253</v>
      </c>
      <c r="I93" s="50">
        <f>IF(UnitsTable[Type]="Receipt",(SUM(UnitsTable[[#This Row],[In&amp;Out Qty]])),(SUM(-INOUTQTY)))</f>
        <v>-300</v>
      </c>
    </row>
    <row r="94" spans="1:9" x14ac:dyDescent="0.35">
      <c r="A94" s="65">
        <v>45859</v>
      </c>
      <c r="B94" s="66">
        <v>4900027422</v>
      </c>
      <c r="C94" s="20" t="s">
        <v>19</v>
      </c>
      <c r="D94" s="67">
        <v>100220</v>
      </c>
      <c r="E94" s="33" t="str">
        <f>IF(D94="","",VLOOKUP(D94,'STOCK CONTROL SHEET'!Details,2,FALSE))</f>
        <v>Payment of Benefit Forms/004</v>
      </c>
      <c r="F94" s="33" t="str">
        <f>IF(D94="","",VLOOKUP(D94,'STOCK CONTROL SHEET'!Details,3,FALSE))</f>
        <v>PCS</v>
      </c>
      <c r="G94" s="67">
        <v>500</v>
      </c>
      <c r="H94" s="67" t="s">
        <v>274</v>
      </c>
      <c r="I94" s="50">
        <f>IF(UnitsTable[Type]="Receipt",(SUM(UnitsTable[[#This Row],[In&amp;Out Qty]])),(SUM(-INOUTQTY)))</f>
        <v>-500</v>
      </c>
    </row>
    <row r="95" spans="1:9" x14ac:dyDescent="0.35">
      <c r="A95" s="65">
        <v>45859</v>
      </c>
      <c r="B95" s="66">
        <v>4900027422</v>
      </c>
      <c r="C95" s="20" t="s">
        <v>19</v>
      </c>
      <c r="D95" s="67">
        <v>100143</v>
      </c>
      <c r="E95" s="33" t="str">
        <f>IF(D95="","",VLOOKUP(D95,'STOCK CONTROL SHEET'!Details,2,FALSE))</f>
        <v>Laminating Pouches</v>
      </c>
      <c r="F95" s="33" t="str">
        <f>IF(D95="","",VLOOKUP(D95,'STOCK CONTROL SHEET'!Details,3,FALSE))</f>
        <v>PCS</v>
      </c>
      <c r="G95" s="67">
        <v>2000</v>
      </c>
      <c r="H95" s="67" t="s">
        <v>274</v>
      </c>
      <c r="I95" s="50">
        <f>IF(UnitsTable[Type]="Receipt",(SUM(UnitsTable[[#This Row],[In&amp;Out Qty]])),(SUM(-INOUTQTY)))</f>
        <v>-2000</v>
      </c>
    </row>
    <row r="96" spans="1:9" x14ac:dyDescent="0.35">
      <c r="A96" s="65">
        <v>45859</v>
      </c>
      <c r="B96" s="66">
        <v>4900027422</v>
      </c>
      <c r="C96" s="20" t="s">
        <v>19</v>
      </c>
      <c r="D96" s="67">
        <v>100218</v>
      </c>
      <c r="E96" s="33" t="str">
        <f>IF(D96="","",VLOOKUP(D96,'STOCK CONTROL SHEET'!Details,2,FALSE))</f>
        <v>Ben. App. Forms SF/001</v>
      </c>
      <c r="F96" s="33" t="str">
        <f>IF(D96="","",VLOOKUP(D96,'STOCK CONTROL SHEET'!Details,3,FALSE))</f>
        <v>PCS</v>
      </c>
      <c r="G96" s="67">
        <v>300</v>
      </c>
      <c r="H96" s="67" t="s">
        <v>274</v>
      </c>
      <c r="I96" s="50">
        <f>IF(UnitsTable[Type]="Receipt",(SUM(UnitsTable[[#This Row],[In&amp;Out Qty]])),(SUM(-INOUTQTY)))</f>
        <v>-300</v>
      </c>
    </row>
    <row r="97" spans="1:9" x14ac:dyDescent="0.35">
      <c r="A97" s="65">
        <v>45859</v>
      </c>
      <c r="B97" s="66">
        <v>4900027422</v>
      </c>
      <c r="C97" s="20" t="s">
        <v>19</v>
      </c>
      <c r="D97" s="67">
        <v>100211</v>
      </c>
      <c r="E97" s="33" t="str">
        <f>IF(D97="","",VLOOKUP(D97,'STOCK CONTROL SHEET'!Details,2,FALSE))</f>
        <v>Survivor Ben. Form</v>
      </c>
      <c r="F97" s="33" t="str">
        <f>IF(D97="","",VLOOKUP(D97,'STOCK CONTROL SHEET'!Details,3,FALSE))</f>
        <v>PCS</v>
      </c>
      <c r="G97" s="67">
        <v>100</v>
      </c>
      <c r="H97" s="67" t="s">
        <v>274</v>
      </c>
      <c r="I97" s="50">
        <f>IF(UnitsTable[Type]="Receipt",(SUM(UnitsTable[[#This Row],[In&amp;Out Qty]])),(SUM(-INOUTQTY)))</f>
        <v>-100</v>
      </c>
    </row>
    <row r="98" spans="1:9" x14ac:dyDescent="0.35">
      <c r="A98" s="65">
        <v>45859</v>
      </c>
      <c r="B98" s="66">
        <v>4900027422</v>
      </c>
      <c r="C98" s="20" t="s">
        <v>19</v>
      </c>
      <c r="D98" s="67">
        <v>100145</v>
      </c>
      <c r="E98" s="33" t="str">
        <f>IF(D98="","",VLOOKUP(D98,'STOCK CONTROL SHEET'!Details,2,FALSE))</f>
        <v>Membership Cards (Blank)</v>
      </c>
      <c r="F98" s="33" t="str">
        <f>IF(D98="","",VLOOKUP(D98,'STOCK CONTROL SHEET'!Details,3,FALSE))</f>
        <v>PCS</v>
      </c>
      <c r="G98" s="67">
        <v>1000</v>
      </c>
      <c r="H98" s="67" t="s">
        <v>274</v>
      </c>
      <c r="I98" s="50">
        <f>IF(UnitsTable[Type]="Receipt",(SUM(UnitsTable[[#This Row],[In&amp;Out Qty]])),(SUM(-INOUTQTY)))</f>
        <v>-1000</v>
      </c>
    </row>
    <row r="99" spans="1:9" x14ac:dyDescent="0.35">
      <c r="A99" s="65">
        <v>45860</v>
      </c>
      <c r="B99" s="66">
        <v>4900027433</v>
      </c>
      <c r="C99" s="20" t="s">
        <v>19</v>
      </c>
      <c r="D99" s="67">
        <v>100218</v>
      </c>
      <c r="E99" s="33" t="str">
        <f>IF(D99="","",VLOOKUP(D99,'STOCK CONTROL SHEET'!Details,2,FALSE))</f>
        <v>Ben. App. Forms SF/001</v>
      </c>
      <c r="F99" s="33" t="str">
        <f>IF(D99="","",VLOOKUP(D99,'STOCK CONTROL SHEET'!Details,3,FALSE))</f>
        <v>PCS</v>
      </c>
      <c r="G99" s="67">
        <v>400</v>
      </c>
      <c r="H99" s="67" t="s">
        <v>275</v>
      </c>
      <c r="I99" s="50">
        <f>IF(UnitsTable[Type]="Receipt",(SUM(UnitsTable[[#This Row],[In&amp;Out Qty]])),(SUM(-INOUTQTY)))</f>
        <v>-400</v>
      </c>
    </row>
    <row r="100" spans="1:9" x14ac:dyDescent="0.35">
      <c r="A100" s="65">
        <v>45860</v>
      </c>
      <c r="B100" s="66">
        <v>4900027433</v>
      </c>
      <c r="C100" s="20" t="s">
        <v>19</v>
      </c>
      <c r="D100" s="67">
        <v>100220</v>
      </c>
      <c r="E100" s="33" t="str">
        <f>IF(D100="","",VLOOKUP(D100,'STOCK CONTROL SHEET'!Details,2,FALSE))</f>
        <v>Payment of Benefit Forms/004</v>
      </c>
      <c r="F100" s="33" t="str">
        <f>IF(D100="","",VLOOKUP(D100,'STOCK CONTROL SHEET'!Details,3,FALSE))</f>
        <v>PCS</v>
      </c>
      <c r="G100" s="67">
        <v>500</v>
      </c>
      <c r="H100" s="67" t="s">
        <v>275</v>
      </c>
      <c r="I100" s="50">
        <f>IF(UnitsTable[Type]="Receipt",(SUM(UnitsTable[[#This Row],[In&amp;Out Qty]])),(SUM(-INOUTQTY)))</f>
        <v>-500</v>
      </c>
    </row>
    <row r="101" spans="1:9" x14ac:dyDescent="0.35">
      <c r="A101" s="65">
        <v>45860</v>
      </c>
      <c r="B101" s="66">
        <v>4900027433</v>
      </c>
      <c r="C101" s="20" t="s">
        <v>19</v>
      </c>
      <c r="D101" s="67">
        <v>100139</v>
      </c>
      <c r="E101" s="33" t="str">
        <f>IF(D101="","",VLOOKUP(D101,'STOCK CONTROL SHEET'!Details,2,FALSE))</f>
        <v>App. For Employer SF/001</v>
      </c>
      <c r="F101" s="33" t="str">
        <f>IF(D101="","",VLOOKUP(D101,'STOCK CONTROL SHEET'!Details,3,FALSE))</f>
        <v>PCS</v>
      </c>
      <c r="G101" s="67">
        <v>500</v>
      </c>
      <c r="H101" s="67" t="s">
        <v>275</v>
      </c>
      <c r="I101" s="50">
        <f>IF(UnitsTable[Type]="Receipt",(SUM(UnitsTable[[#This Row],[In&amp;Out Qty]])),(SUM(-INOUTQTY)))</f>
        <v>-500</v>
      </c>
    </row>
    <row r="102" spans="1:9" x14ac:dyDescent="0.35">
      <c r="A102" s="65">
        <v>45860</v>
      </c>
      <c r="B102" s="66">
        <v>4900027433</v>
      </c>
      <c r="C102" s="20" t="s">
        <v>19</v>
      </c>
      <c r="D102" s="67">
        <v>100181</v>
      </c>
      <c r="E102" s="33" t="str">
        <f>IF(D102="","",VLOOKUP(D102,'STOCK CONTROL SHEET'!Details,2,FALSE))</f>
        <v>Registration Gen. Folders</v>
      </c>
      <c r="F102" s="33" t="str">
        <f>IF(D102="","",VLOOKUP(D102,'STOCK CONTROL SHEET'!Details,3,FALSE))</f>
        <v>PCS</v>
      </c>
      <c r="G102" s="67">
        <v>300</v>
      </c>
      <c r="H102" s="67" t="s">
        <v>275</v>
      </c>
      <c r="I102" s="50">
        <f>IF(UnitsTable[Type]="Receipt",(SUM(UnitsTable[[#This Row],[In&amp;Out Qty]])),(SUM(-INOUTQTY)))</f>
        <v>-300</v>
      </c>
    </row>
    <row r="103" spans="1:9" x14ac:dyDescent="0.35">
      <c r="A103" s="65">
        <v>45860</v>
      </c>
      <c r="B103" s="66">
        <v>4900027445</v>
      </c>
      <c r="C103" s="20" t="s">
        <v>19</v>
      </c>
      <c r="D103" s="67">
        <v>100218</v>
      </c>
      <c r="E103" s="33" t="str">
        <f>IF(D103="","",VLOOKUP(D103,'STOCK CONTROL SHEET'!Details,2,FALSE))</f>
        <v>Ben. App. Forms SF/001</v>
      </c>
      <c r="F103" s="33" t="str">
        <f>IF(D103="","",VLOOKUP(D103,'STOCK CONTROL SHEET'!Details,3,FALSE))</f>
        <v>PCS</v>
      </c>
      <c r="G103" s="67">
        <v>500</v>
      </c>
      <c r="H103" s="67" t="s">
        <v>276</v>
      </c>
      <c r="I103" s="50">
        <f>IF(UnitsTable[Type]="Receipt",(SUM(UnitsTable[[#This Row],[In&amp;Out Qty]])),(SUM(-INOUTQTY)))</f>
        <v>-500</v>
      </c>
    </row>
    <row r="104" spans="1:9" x14ac:dyDescent="0.35">
      <c r="A104" s="65">
        <v>45860</v>
      </c>
      <c r="B104" s="66">
        <v>4900027443</v>
      </c>
      <c r="C104" s="20" t="s">
        <v>19</v>
      </c>
      <c r="D104" s="67">
        <v>100145</v>
      </c>
      <c r="E104" s="33" t="str">
        <f>IF(D104="","",VLOOKUP(D104,'STOCK CONTROL SHEET'!Details,2,FALSE))</f>
        <v>Membership Cards (Blank)</v>
      </c>
      <c r="F104" s="33" t="str">
        <f>IF(D104="","",VLOOKUP(D104,'STOCK CONTROL SHEET'!Details,3,FALSE))</f>
        <v>PCS</v>
      </c>
      <c r="G104" s="67">
        <v>3000</v>
      </c>
      <c r="H104" s="67" t="s">
        <v>276</v>
      </c>
      <c r="I104" s="50">
        <f>IF(UnitsTable[Type]="Receipt",(SUM(UnitsTable[[#This Row],[In&amp;Out Qty]])),(SUM(-INOUTQTY)))</f>
        <v>-3000</v>
      </c>
    </row>
    <row r="105" spans="1:9" x14ac:dyDescent="0.35">
      <c r="A105" s="65">
        <v>45860</v>
      </c>
      <c r="B105" s="66">
        <v>4900027443</v>
      </c>
      <c r="C105" s="20" t="s">
        <v>19</v>
      </c>
      <c r="D105" s="67">
        <v>100143</v>
      </c>
      <c r="E105" s="33" t="str">
        <f>IF(D105="","",VLOOKUP(D105,'STOCK CONTROL SHEET'!Details,2,FALSE))</f>
        <v>Laminating Pouches</v>
      </c>
      <c r="F105" s="33" t="str">
        <f>IF(D105="","",VLOOKUP(D105,'STOCK CONTROL SHEET'!Details,3,FALSE))</f>
        <v>PCS</v>
      </c>
      <c r="G105" s="67">
        <v>3000</v>
      </c>
      <c r="H105" s="67" t="s">
        <v>276</v>
      </c>
      <c r="I105" s="50">
        <f>IF(UnitsTable[Type]="Receipt",(SUM(UnitsTable[[#This Row],[In&amp;Out Qty]])),(SUM(-INOUTQTY)))</f>
        <v>-3000</v>
      </c>
    </row>
    <row r="106" spans="1:9" x14ac:dyDescent="0.35">
      <c r="A106" s="65">
        <v>45860</v>
      </c>
      <c r="B106" s="66">
        <v>4900027440</v>
      </c>
      <c r="C106" s="20" t="s">
        <v>19</v>
      </c>
      <c r="D106" s="67">
        <v>100122</v>
      </c>
      <c r="E106" s="33" t="str">
        <f>IF(D106="","",VLOOKUP(D106,'STOCK CONTROL SHEET'!Details,2,FALSE))</f>
        <v>Envelopes A5</v>
      </c>
      <c r="F106" s="33" t="str">
        <f>IF(D106="","",VLOOKUP(D106,'STOCK CONTROL SHEET'!Details,3,FALSE))</f>
        <v>PCS</v>
      </c>
      <c r="G106" s="67">
        <v>50</v>
      </c>
      <c r="H106" s="67" t="s">
        <v>277</v>
      </c>
      <c r="I106" s="50">
        <f>IF(UnitsTable[Type]="Receipt",(SUM(UnitsTable[[#This Row],[In&amp;Out Qty]])),(SUM(-INOUTQTY)))</f>
        <v>-50</v>
      </c>
    </row>
    <row r="107" spans="1:9" x14ac:dyDescent="0.35">
      <c r="A107" s="65">
        <v>45860</v>
      </c>
      <c r="B107" s="66">
        <v>4900027436</v>
      </c>
      <c r="C107" s="20" t="s">
        <v>19</v>
      </c>
      <c r="D107" s="67">
        <v>100130</v>
      </c>
      <c r="E107" s="33" t="str">
        <f>IF(D107="","",VLOOKUP(D107,'STOCK CONTROL SHEET'!Details,2,FALSE))</f>
        <v>Emigration Benefit Folders</v>
      </c>
      <c r="F107" s="33" t="str">
        <f>IF(D107="","",VLOOKUP(D107,'STOCK CONTROL SHEET'!Details,3,FALSE))</f>
        <v>PCS</v>
      </c>
      <c r="G107" s="67">
        <v>20</v>
      </c>
      <c r="H107" s="67" t="s">
        <v>278</v>
      </c>
      <c r="I107" s="50">
        <f>IF(UnitsTable[Type]="Receipt",(SUM(UnitsTable[[#This Row],[In&amp;Out Qty]])),(SUM(-INOUTQTY)))</f>
        <v>-20</v>
      </c>
    </row>
    <row r="108" spans="1:9" x14ac:dyDescent="0.35">
      <c r="A108" s="65">
        <v>45860</v>
      </c>
      <c r="B108" s="66">
        <v>4900027436</v>
      </c>
      <c r="C108" s="20" t="s">
        <v>19</v>
      </c>
      <c r="D108" s="67">
        <v>100145</v>
      </c>
      <c r="E108" s="33" t="str">
        <f>IF(D108="","",VLOOKUP(D108,'STOCK CONTROL SHEET'!Details,2,FALSE))</f>
        <v>Membership Cards (Blank)</v>
      </c>
      <c r="F108" s="33" t="str">
        <f>IF(D108="","",VLOOKUP(D108,'STOCK CONTROL SHEET'!Details,3,FALSE))</f>
        <v>PCS</v>
      </c>
      <c r="G108" s="67">
        <v>6000</v>
      </c>
      <c r="H108" s="67" t="s">
        <v>278</v>
      </c>
      <c r="I108" s="50">
        <f>IF(UnitsTable[Type]="Receipt",(SUM(UnitsTable[[#This Row],[In&amp;Out Qty]])),(SUM(-INOUTQTY)))</f>
        <v>-6000</v>
      </c>
    </row>
    <row r="109" spans="1:9" x14ac:dyDescent="0.35">
      <c r="A109" s="65">
        <v>45860</v>
      </c>
      <c r="B109" s="66">
        <v>4900027436</v>
      </c>
      <c r="C109" s="20" t="s">
        <v>19</v>
      </c>
      <c r="D109" s="67">
        <v>100181</v>
      </c>
      <c r="E109" s="33" t="str">
        <f>IF(D109="","",VLOOKUP(D109,'STOCK CONTROL SHEET'!Details,2,FALSE))</f>
        <v>Registration Gen. Folders</v>
      </c>
      <c r="F109" s="33" t="str">
        <f>IF(D109="","",VLOOKUP(D109,'STOCK CONTROL SHEET'!Details,3,FALSE))</f>
        <v>PCS</v>
      </c>
      <c r="G109" s="67">
        <v>300</v>
      </c>
      <c r="H109" s="67" t="s">
        <v>278</v>
      </c>
      <c r="I109" s="50">
        <f>IF(UnitsTable[Type]="Receipt",(SUM(UnitsTable[[#This Row],[In&amp;Out Qty]])),(SUM(-INOUTQTY)))</f>
        <v>-300</v>
      </c>
    </row>
    <row r="110" spans="1:9" x14ac:dyDescent="0.35">
      <c r="A110" s="65">
        <v>45860</v>
      </c>
      <c r="B110" s="66">
        <v>4900027436</v>
      </c>
      <c r="C110" s="20" t="s">
        <v>19</v>
      </c>
      <c r="D110" s="67">
        <v>100218</v>
      </c>
      <c r="E110" s="33" t="str">
        <f>IF(D110="","",VLOOKUP(D110,'STOCK CONTROL SHEET'!Details,2,FALSE))</f>
        <v>Ben. App. Forms SF/001</v>
      </c>
      <c r="F110" s="33" t="str">
        <f>IF(D110="","",VLOOKUP(D110,'STOCK CONTROL SHEET'!Details,3,FALSE))</f>
        <v>PCS</v>
      </c>
      <c r="G110" s="67">
        <v>500</v>
      </c>
      <c r="H110" s="67" t="s">
        <v>278</v>
      </c>
      <c r="I110" s="50">
        <f>IF(UnitsTable[Type]="Receipt",(SUM(UnitsTable[[#This Row],[In&amp;Out Qty]])),(SUM(-INOUTQTY)))</f>
        <v>-500</v>
      </c>
    </row>
    <row r="111" spans="1:9" x14ac:dyDescent="0.35">
      <c r="A111" s="65">
        <v>45860</v>
      </c>
      <c r="B111" s="66">
        <v>4900027436</v>
      </c>
      <c r="C111" s="20" t="s">
        <v>19</v>
      </c>
      <c r="D111" s="67">
        <v>100220</v>
      </c>
      <c r="E111" s="33" t="str">
        <f>IF(D111="","",VLOOKUP(D111,'STOCK CONTROL SHEET'!Details,2,FALSE))</f>
        <v>Payment of Benefit Forms/004</v>
      </c>
      <c r="F111" s="33" t="str">
        <f>IF(D111="","",VLOOKUP(D111,'STOCK CONTROL SHEET'!Details,3,FALSE))</f>
        <v>PCS</v>
      </c>
      <c r="G111" s="67">
        <v>500</v>
      </c>
      <c r="H111" s="67" t="s">
        <v>278</v>
      </c>
      <c r="I111" s="50">
        <f>IF(UnitsTable[Type]="Receipt",(SUM(UnitsTable[[#This Row],[In&amp;Out Qty]])),(SUM(-INOUTQTY)))</f>
        <v>-500</v>
      </c>
    </row>
    <row r="112" spans="1:9" x14ac:dyDescent="0.35">
      <c r="A112" s="65">
        <v>45860</v>
      </c>
      <c r="B112" s="66">
        <v>4900027446</v>
      </c>
      <c r="C112" s="20" t="s">
        <v>19</v>
      </c>
      <c r="D112" s="67">
        <v>100145</v>
      </c>
      <c r="E112" s="33" t="str">
        <f>IF(D112="","",VLOOKUP(D112,'STOCK CONTROL SHEET'!Details,2,FALSE))</f>
        <v>Membership Cards (Blank)</v>
      </c>
      <c r="F112" s="33" t="str">
        <f>IF(D112="","",VLOOKUP(D112,'STOCK CONTROL SHEET'!Details,3,FALSE))</f>
        <v>PCS</v>
      </c>
      <c r="G112" s="67">
        <v>4000</v>
      </c>
      <c r="H112" s="67" t="s">
        <v>279</v>
      </c>
      <c r="I112" s="50">
        <f>IF(UnitsTable[Type]="Receipt",(SUM(UnitsTable[[#This Row],[In&amp;Out Qty]])),(SUM(-INOUTQTY)))</f>
        <v>-4000</v>
      </c>
    </row>
    <row r="113" spans="1:9" x14ac:dyDescent="0.35">
      <c r="A113" s="65">
        <v>45860</v>
      </c>
      <c r="B113" s="66">
        <v>4900027446</v>
      </c>
      <c r="C113" s="20" t="s">
        <v>19</v>
      </c>
      <c r="D113" s="67">
        <v>100143</v>
      </c>
      <c r="E113" s="33" t="str">
        <f>IF(D113="","",VLOOKUP(D113,'STOCK CONTROL SHEET'!Details,2,FALSE))</f>
        <v>Laminating Pouches</v>
      </c>
      <c r="F113" s="33" t="str">
        <f>IF(D113="","",VLOOKUP(D113,'STOCK CONTROL SHEET'!Details,3,FALSE))</f>
        <v>PCS</v>
      </c>
      <c r="G113" s="67">
        <v>2000</v>
      </c>
      <c r="H113" s="67" t="s">
        <v>279</v>
      </c>
      <c r="I113" s="50">
        <f>IF(UnitsTable[Type]="Receipt",(SUM(UnitsTable[[#This Row],[In&amp;Out Qty]])),(SUM(-INOUTQTY)))</f>
        <v>-2000</v>
      </c>
    </row>
    <row r="114" spans="1:9" x14ac:dyDescent="0.35">
      <c r="A114" s="65">
        <v>45860</v>
      </c>
      <c r="B114" s="66">
        <v>4900027446</v>
      </c>
      <c r="C114" s="20" t="s">
        <v>19</v>
      </c>
      <c r="D114" s="67">
        <v>100220</v>
      </c>
      <c r="E114" s="33" t="str">
        <f>IF(D114="","",VLOOKUP(D114,'STOCK CONTROL SHEET'!Details,2,FALSE))</f>
        <v>Payment of Benefit Forms/004</v>
      </c>
      <c r="F114" s="33" t="str">
        <f>IF(D114="","",VLOOKUP(D114,'STOCK CONTROL SHEET'!Details,3,FALSE))</f>
        <v>PCS</v>
      </c>
      <c r="G114" s="67">
        <v>500</v>
      </c>
      <c r="H114" s="67" t="s">
        <v>279</v>
      </c>
      <c r="I114" s="50">
        <f>IF(UnitsTable[Type]="Receipt",(SUM(UnitsTable[[#This Row],[In&amp;Out Qty]])),(SUM(-INOUTQTY)))</f>
        <v>-500</v>
      </c>
    </row>
    <row r="115" spans="1:9" x14ac:dyDescent="0.35">
      <c r="A115" s="65">
        <v>45860</v>
      </c>
      <c r="B115" s="66">
        <v>4900027446</v>
      </c>
      <c r="C115" s="20" t="s">
        <v>19</v>
      </c>
      <c r="D115" s="67">
        <v>100218</v>
      </c>
      <c r="E115" s="33" t="str">
        <f>IF(D115="","",VLOOKUP(D115,'STOCK CONTROL SHEET'!Details,2,FALSE))</f>
        <v>Ben. App. Forms SF/001</v>
      </c>
      <c r="F115" s="33" t="str">
        <f>IF(D115="","",VLOOKUP(D115,'STOCK CONTROL SHEET'!Details,3,FALSE))</f>
        <v>PCS</v>
      </c>
      <c r="G115" s="67">
        <v>500</v>
      </c>
      <c r="H115" s="67" t="s">
        <v>279</v>
      </c>
      <c r="I115" s="50">
        <f>IF(UnitsTable[Type]="Receipt",(SUM(UnitsTable[[#This Row],[In&amp;Out Qty]])),(SUM(-INOUTQTY)))</f>
        <v>-500</v>
      </c>
    </row>
    <row r="116" spans="1:9" x14ac:dyDescent="0.35">
      <c r="A116" s="65">
        <v>45861</v>
      </c>
      <c r="B116" s="66">
        <v>4900027458</v>
      </c>
      <c r="C116" s="20" t="s">
        <v>19</v>
      </c>
      <c r="D116" s="67">
        <v>100143</v>
      </c>
      <c r="E116" s="33" t="str">
        <f>IF(D116="","",VLOOKUP(D116,'STOCK CONTROL SHEET'!Details,2,FALSE))</f>
        <v>Laminating Pouches</v>
      </c>
      <c r="F116" s="33" t="str">
        <f>IF(D116="","",VLOOKUP(D116,'STOCK CONTROL SHEET'!Details,3,FALSE))</f>
        <v>PCS</v>
      </c>
      <c r="G116" s="67">
        <v>2000</v>
      </c>
      <c r="H116" s="67" t="s">
        <v>278</v>
      </c>
      <c r="I116" s="50">
        <f>IF(UnitsTable[Type]="Receipt",(SUM(UnitsTable[[#This Row],[In&amp;Out Qty]])),(SUM(-INOUTQTY)))</f>
        <v>-2000</v>
      </c>
    </row>
    <row r="117" spans="1:9" x14ac:dyDescent="0.35">
      <c r="A117" s="65">
        <v>45861</v>
      </c>
      <c r="B117" s="66">
        <v>4900027455</v>
      </c>
      <c r="C117" s="20" t="s">
        <v>19</v>
      </c>
      <c r="D117" s="67">
        <v>100145</v>
      </c>
      <c r="E117" s="33" t="str">
        <f>IF(D117="","",VLOOKUP(D117,'STOCK CONTROL SHEET'!Details,2,FALSE))</f>
        <v>Membership Cards (Blank)</v>
      </c>
      <c r="F117" s="33" t="str">
        <f>IF(D117="","",VLOOKUP(D117,'STOCK CONTROL SHEET'!Details,3,FALSE))</f>
        <v>PCS</v>
      </c>
      <c r="G117" s="67">
        <v>1000</v>
      </c>
      <c r="H117" s="67" t="s">
        <v>280</v>
      </c>
      <c r="I117" s="50">
        <f>IF(UnitsTable[Type]="Receipt",(SUM(UnitsTable[[#This Row],[In&amp;Out Qty]])),(SUM(-INOUTQTY)))</f>
        <v>-1000</v>
      </c>
    </row>
    <row r="118" spans="1:9" x14ac:dyDescent="0.35">
      <c r="A118" s="65">
        <v>45861</v>
      </c>
      <c r="B118" s="66">
        <v>4900027460</v>
      </c>
      <c r="C118" s="20" t="s">
        <v>19</v>
      </c>
      <c r="D118" s="67">
        <v>100123</v>
      </c>
      <c r="E118" s="33" t="str">
        <f>IF(D118="","",VLOOKUP(D118,'STOCK CONTROL SHEET'!Details,2,FALSE))</f>
        <v>Envelopes A4</v>
      </c>
      <c r="F118" s="33" t="str">
        <f>IF(D118="","",VLOOKUP(D118,'STOCK CONTROL SHEET'!Details,3,FALSE))</f>
        <v>PCS</v>
      </c>
      <c r="G118" s="67">
        <v>100</v>
      </c>
      <c r="H118" s="67" t="s">
        <v>281</v>
      </c>
      <c r="I118" s="50">
        <f>IF(UnitsTable[Type]="Receipt",(SUM(UnitsTable[[#This Row],[In&amp;Out Qty]])),(SUM(-INOUTQTY)))</f>
        <v>-100</v>
      </c>
    </row>
    <row r="119" spans="1:9" x14ac:dyDescent="0.35">
      <c r="A119" s="65">
        <v>45861</v>
      </c>
      <c r="B119" s="66">
        <v>4900027460</v>
      </c>
      <c r="C119" s="20" t="s">
        <v>19</v>
      </c>
      <c r="D119" s="67">
        <v>100122</v>
      </c>
      <c r="E119" s="33" t="str">
        <f>IF(D119="","",VLOOKUP(D119,'STOCK CONTROL SHEET'!Details,2,FALSE))</f>
        <v>Envelopes A5</v>
      </c>
      <c r="F119" s="33" t="str">
        <f>IF(D119="","",VLOOKUP(D119,'STOCK CONTROL SHEET'!Details,3,FALSE))</f>
        <v>PCS</v>
      </c>
      <c r="G119" s="67">
        <v>100</v>
      </c>
      <c r="H119" s="67" t="s">
        <v>281</v>
      </c>
      <c r="I119" s="50">
        <f>IF(UnitsTable[Type]="Receipt",(SUM(UnitsTable[[#This Row],[In&amp;Out Qty]])),(SUM(-INOUTQTY)))</f>
        <v>-100</v>
      </c>
    </row>
    <row r="120" spans="1:9" x14ac:dyDescent="0.35">
      <c r="A120" s="65">
        <v>45861</v>
      </c>
      <c r="B120" s="66">
        <v>4900027463</v>
      </c>
      <c r="C120" s="20" t="s">
        <v>19</v>
      </c>
      <c r="D120" s="67">
        <v>100123</v>
      </c>
      <c r="E120" s="33" t="str">
        <f>IF(D120="","",VLOOKUP(D120,'STOCK CONTROL SHEET'!Details,2,FALSE))</f>
        <v>Envelopes A4</v>
      </c>
      <c r="F120" s="33" t="str">
        <f>IF(D120="","",VLOOKUP(D120,'STOCK CONTROL SHEET'!Details,3,FALSE))</f>
        <v>PCS</v>
      </c>
      <c r="G120" s="67">
        <v>200</v>
      </c>
      <c r="H120" s="67" t="s">
        <v>282</v>
      </c>
      <c r="I120" s="50">
        <f>IF(UnitsTable[Type]="Receipt",(SUM(UnitsTable[[#This Row],[In&amp;Out Qty]])),(SUM(-INOUTQTY)))</f>
        <v>-200</v>
      </c>
    </row>
    <row r="121" spans="1:9" x14ac:dyDescent="0.35">
      <c r="A121" s="65">
        <v>45862</v>
      </c>
      <c r="B121" s="66">
        <v>4900027468</v>
      </c>
      <c r="C121" s="20" t="s">
        <v>20</v>
      </c>
      <c r="D121" s="67">
        <v>100145</v>
      </c>
      <c r="E121" s="33" t="str">
        <f>IF(D121="","",VLOOKUP(D121,'STOCK CONTROL SHEET'!Details,2,FALSE))</f>
        <v>Membership Cards (Blank)</v>
      </c>
      <c r="F121" s="33" t="str">
        <f>IF(D121="","",VLOOKUP(D121,'STOCK CONTROL SHEET'!Details,3,FALSE))</f>
        <v>PCS</v>
      </c>
      <c r="G121" s="67">
        <v>1000</v>
      </c>
      <c r="H121" s="67" t="s">
        <v>273</v>
      </c>
      <c r="I121" s="50">
        <f>IF(UnitsTable[Type]="Receipt",(SUM(UnitsTable[[#This Row],[In&amp;Out Qty]])),(SUM(-INOUTQTY)))</f>
        <v>1000</v>
      </c>
    </row>
    <row r="122" spans="1:9" x14ac:dyDescent="0.35">
      <c r="A122" s="65">
        <v>45862</v>
      </c>
      <c r="B122" s="66">
        <v>4900027468</v>
      </c>
      <c r="C122" s="20" t="s">
        <v>20</v>
      </c>
      <c r="D122" s="67">
        <v>100220</v>
      </c>
      <c r="E122" s="33" t="str">
        <f>IF(D122="","",VLOOKUP(D122,'STOCK CONTROL SHEET'!Details,2,FALSE))</f>
        <v>Payment of Benefit Forms/004</v>
      </c>
      <c r="F122" s="33" t="str">
        <f>IF(D122="","",VLOOKUP(D122,'STOCK CONTROL SHEET'!Details,3,FALSE))</f>
        <v>PCS</v>
      </c>
      <c r="G122" s="67">
        <v>500</v>
      </c>
      <c r="H122" s="67" t="s">
        <v>273</v>
      </c>
      <c r="I122" s="50">
        <f>IF(UnitsTable[Type]="Receipt",(SUM(UnitsTable[[#This Row],[In&amp;Out Qty]])),(SUM(-INOUTQTY)))</f>
        <v>500</v>
      </c>
    </row>
    <row r="123" spans="1:9" x14ac:dyDescent="0.35">
      <c r="A123" s="68">
        <v>45862</v>
      </c>
      <c r="B123" s="69">
        <v>4900027468</v>
      </c>
      <c r="C123" s="20" t="s">
        <v>20</v>
      </c>
      <c r="D123" s="70">
        <v>100143</v>
      </c>
      <c r="E123" s="33" t="str">
        <f>IF(D123="","",VLOOKUP(D123,'STOCK CONTROL SHEET'!Details,2,FALSE))</f>
        <v>Laminating Pouches</v>
      </c>
      <c r="F123" s="33" t="str">
        <f>IF(D123="","",VLOOKUP(D123,'STOCK CONTROL SHEET'!Details,3,FALSE))</f>
        <v>PCS</v>
      </c>
      <c r="G123" s="70">
        <v>2000</v>
      </c>
      <c r="H123" s="70" t="s">
        <v>273</v>
      </c>
      <c r="I123" s="52">
        <f>IF(UnitsTable[Type]="Receipt",(SUM(UnitsTable[[#This Row],[In&amp;Out Qty]])),(SUM(-INOUTQTY)))</f>
        <v>2000</v>
      </c>
    </row>
  </sheetData>
  <mergeCells count="1">
    <mergeCell ref="A1:I1"/>
  </mergeCells>
  <conditionalFormatting sqref="C1:C1048576">
    <cfRule type="containsText" dxfId="8" priority="4" operator="containsText" text="Loaned">
      <formula>NOT(ISERROR(SEARCH("Loaned",C1)))</formula>
    </cfRule>
    <cfRule type="containsText" dxfId="7" priority="5" operator="containsText" text="Issue">
      <formula>NOT(ISERROR(SEARCH("Issue",C1)))</formula>
    </cfRule>
  </conditionalFormatting>
  <conditionalFormatting sqref="C2:C1048576">
    <cfRule type="containsText" dxfId="6" priority="6" operator="containsText" text="Receipt">
      <formula>NOT(ISERROR(SEARCH("Receipt",C2)))</formula>
    </cfRule>
  </conditionalFormatting>
  <dataValidations count="2">
    <dataValidation type="list" allowBlank="1" showInputMessage="1" showErrorMessage="1" sqref="C3:C123">
      <formula1>TransactionType</formula1>
    </dataValidation>
    <dataValidation type="list" allowBlank="1" showInputMessage="1" showErrorMessage="1" errorTitle="STOP" error="Kindly Input Valid Material Number" sqref="D2:D123">
      <formula1>SFMaterialNo</formula1>
    </dataValidation>
  </dataValidations>
  <pageMargins left="0.7" right="0.7" top="0.75" bottom="0.75" header="0.3" footer="0.3"/>
  <pageSetup paperSize="9" orientation="landscape"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5" tint="-0.249977111117893"/>
  </sheetPr>
  <dimension ref="A1:D245"/>
  <sheetViews>
    <sheetView topLeftCell="A34" workbookViewId="0">
      <selection activeCell="B7" sqref="B7"/>
    </sheetView>
  </sheetViews>
  <sheetFormatPr defaultRowHeight="14.5" x14ac:dyDescent="0.35"/>
  <cols>
    <col min="1" max="1" width="34.81640625" customWidth="1"/>
    <col min="2" max="2" width="15.26953125" customWidth="1"/>
    <col min="3" max="3" width="7" customWidth="1"/>
    <col min="4" max="4" width="10.7265625" customWidth="1"/>
    <col min="5" max="5" width="16.1796875" customWidth="1"/>
    <col min="6" max="6" width="11.81640625" customWidth="1"/>
    <col min="7" max="7" width="14.7265625" customWidth="1"/>
    <col min="8" max="8" width="11.7265625" customWidth="1"/>
    <col min="9" max="9" width="14.6328125" customWidth="1"/>
    <col min="10" max="10" width="10.26953125" customWidth="1"/>
    <col min="11" max="11" width="13.1796875" customWidth="1"/>
    <col min="12" max="12" width="19.81640625" customWidth="1"/>
    <col min="13" max="13" width="22.7265625" customWidth="1"/>
    <col min="14" max="14" width="10" customWidth="1"/>
    <col min="15" max="15" width="12.90625" customWidth="1"/>
    <col min="16" max="16" width="13.54296875" customWidth="1"/>
    <col min="17" max="17" width="16.453125" customWidth="1"/>
    <col min="18" max="18" width="13.6328125" customWidth="1"/>
    <col min="19" max="19" width="16.54296875" customWidth="1"/>
    <col min="20" max="20" width="11.54296875" customWidth="1"/>
    <col min="21" max="21" width="14.453125" customWidth="1"/>
    <col min="22" max="22" width="23.6328125" customWidth="1"/>
    <col min="23" max="23" width="26.54296875" bestFit="1" customWidth="1"/>
    <col min="24" max="24" width="20.1796875" customWidth="1"/>
    <col min="25" max="25" width="23.08984375" bestFit="1" customWidth="1"/>
    <col min="26" max="26" width="17.6328125" customWidth="1"/>
    <col min="27" max="27" width="7" customWidth="1"/>
    <col min="28" max="28" width="20.54296875" bestFit="1" customWidth="1"/>
    <col min="29" max="29" width="14.54296875" customWidth="1"/>
    <col min="30" max="30" width="17.54296875" customWidth="1"/>
    <col min="31" max="31" width="12.453125" customWidth="1"/>
    <col min="32" max="32" width="15.36328125" bestFit="1" customWidth="1"/>
    <col min="33" max="33" width="9.6328125" customWidth="1"/>
    <col min="34" max="34" width="12.453125" customWidth="1"/>
    <col min="35" max="35" width="11.90625" bestFit="1" customWidth="1"/>
    <col min="36" max="36" width="14.81640625" bestFit="1" customWidth="1"/>
    <col min="37" max="37" width="7.1796875" customWidth="1"/>
    <col min="38" max="38" width="10" bestFit="1" customWidth="1"/>
    <col min="39" max="39" width="12.54296875" bestFit="1" customWidth="1"/>
    <col min="40" max="40" width="15.453125" bestFit="1" customWidth="1"/>
    <col min="41" max="41" width="18.7265625" bestFit="1" customWidth="1"/>
    <col min="42" max="42" width="21.7265625" bestFit="1" customWidth="1"/>
    <col min="43" max="43" width="11.90625" bestFit="1" customWidth="1"/>
    <col min="44" max="44" width="14.81640625" bestFit="1" customWidth="1"/>
    <col min="45" max="45" width="10.7265625" bestFit="1" customWidth="1"/>
    <col min="46" max="46" width="13.6328125" bestFit="1" customWidth="1"/>
    <col min="47" max="47" width="9.90625" bestFit="1" customWidth="1"/>
    <col min="48" max="48" width="12.7265625" bestFit="1" customWidth="1"/>
    <col min="49" max="49" width="24.90625" bestFit="1" customWidth="1"/>
    <col min="50" max="50" width="27.81640625" bestFit="1" customWidth="1"/>
    <col min="51" max="51" width="24.81640625" bestFit="1" customWidth="1"/>
    <col min="52" max="52" width="27.7265625" bestFit="1" customWidth="1"/>
    <col min="53" max="53" width="28.90625" bestFit="1" customWidth="1"/>
    <col min="54" max="54" width="31.81640625" bestFit="1" customWidth="1"/>
    <col min="55" max="55" width="19.6328125" bestFit="1" customWidth="1"/>
    <col min="56" max="56" width="22.54296875" bestFit="1" customWidth="1"/>
    <col min="57" max="57" width="20.81640625" bestFit="1" customWidth="1"/>
    <col min="58" max="58" width="23.7265625" bestFit="1" customWidth="1"/>
    <col min="59" max="59" width="7.81640625" customWidth="1"/>
    <col min="60" max="60" width="10.6328125" bestFit="1" customWidth="1"/>
    <col min="61" max="61" width="10.08984375" bestFit="1" customWidth="1"/>
    <col min="62" max="62" width="13" bestFit="1" customWidth="1"/>
    <col min="63" max="63" width="12.90625" bestFit="1" customWidth="1"/>
    <col min="64" max="64" width="15.81640625" bestFit="1" customWidth="1"/>
    <col min="65" max="65" width="10.7265625" bestFit="1" customWidth="1"/>
  </cols>
  <sheetData>
    <row r="1" spans="1:4" ht="15.5" x14ac:dyDescent="0.35">
      <c r="A1" s="152" t="s">
        <v>285</v>
      </c>
      <c r="B1" s="153"/>
      <c r="C1" s="153"/>
      <c r="D1" s="153"/>
    </row>
    <row r="2" spans="1:4" ht="15" thickBot="1" x14ac:dyDescent="0.4">
      <c r="A2" s="154" t="s">
        <v>287</v>
      </c>
      <c r="B2" s="154"/>
      <c r="C2" s="154"/>
      <c r="D2" s="154"/>
    </row>
    <row r="3" spans="1:4" ht="15" thickBot="1" x14ac:dyDescent="0.4">
      <c r="A3" s="72" t="s">
        <v>180</v>
      </c>
      <c r="B3" s="72" t="s">
        <v>290</v>
      </c>
      <c r="C3" s="9"/>
      <c r="D3" s="9"/>
    </row>
    <row r="4" spans="1:4" ht="15" thickBot="1" x14ac:dyDescent="0.4">
      <c r="A4" s="72" t="s">
        <v>177</v>
      </c>
      <c r="B4" s="9" t="s">
        <v>19</v>
      </c>
      <c r="C4" s="9" t="s">
        <v>20</v>
      </c>
      <c r="D4" s="9" t="s">
        <v>178</v>
      </c>
    </row>
    <row r="5" spans="1:4" ht="15" thickBot="1" x14ac:dyDescent="0.4">
      <c r="A5" s="73">
        <v>45842</v>
      </c>
      <c r="B5" s="71">
        <v>21900</v>
      </c>
      <c r="C5" s="71"/>
      <c r="D5" s="71">
        <v>21900</v>
      </c>
    </row>
    <row r="6" spans="1:4" ht="15" thickBot="1" x14ac:dyDescent="0.4">
      <c r="A6" s="85" t="s">
        <v>14</v>
      </c>
      <c r="B6" s="71">
        <v>21900</v>
      </c>
      <c r="C6" s="71"/>
      <c r="D6" s="71">
        <v>21900</v>
      </c>
    </row>
    <row r="7" spans="1:4" ht="15" thickBot="1" x14ac:dyDescent="0.4">
      <c r="A7" s="53" t="s">
        <v>48</v>
      </c>
      <c r="B7" s="71">
        <v>1000</v>
      </c>
      <c r="C7" s="71"/>
      <c r="D7" s="71">
        <v>1000</v>
      </c>
    </row>
    <row r="8" spans="1:4" ht="15" thickBot="1" x14ac:dyDescent="0.4">
      <c r="A8" s="76" t="s">
        <v>254</v>
      </c>
      <c r="B8" s="71">
        <v>500</v>
      </c>
      <c r="C8" s="71"/>
      <c r="D8" s="71">
        <v>500</v>
      </c>
    </row>
    <row r="9" spans="1:4" ht="15" thickBot="1" x14ac:dyDescent="0.4">
      <c r="A9" s="76" t="s">
        <v>253</v>
      </c>
      <c r="B9" s="71">
        <v>500</v>
      </c>
      <c r="C9" s="71"/>
      <c r="D9" s="71">
        <v>500</v>
      </c>
    </row>
    <row r="10" spans="1:4" ht="15" thickBot="1" x14ac:dyDescent="0.4">
      <c r="A10" s="53" t="s">
        <v>49</v>
      </c>
      <c r="B10" s="71">
        <v>800</v>
      </c>
      <c r="C10" s="71"/>
      <c r="D10" s="71">
        <v>800</v>
      </c>
    </row>
    <row r="11" spans="1:4" ht="15" thickBot="1" x14ac:dyDescent="0.4">
      <c r="A11" s="76" t="s">
        <v>255</v>
      </c>
      <c r="B11" s="71">
        <v>500</v>
      </c>
      <c r="C11" s="71"/>
      <c r="D11" s="71">
        <v>500</v>
      </c>
    </row>
    <row r="12" spans="1:4" ht="15" thickBot="1" x14ac:dyDescent="0.4">
      <c r="A12" s="76" t="s">
        <v>254</v>
      </c>
      <c r="B12" s="71">
        <v>300</v>
      </c>
      <c r="C12" s="71"/>
      <c r="D12" s="71">
        <v>300</v>
      </c>
    </row>
    <row r="13" spans="1:4" ht="15" thickBot="1" x14ac:dyDescent="0.4">
      <c r="A13" s="53" t="s">
        <v>64</v>
      </c>
      <c r="B13" s="71">
        <v>5100</v>
      </c>
      <c r="C13" s="71"/>
      <c r="D13" s="71">
        <v>5100</v>
      </c>
    </row>
    <row r="14" spans="1:4" ht="15" thickBot="1" x14ac:dyDescent="0.4">
      <c r="A14" s="76" t="s">
        <v>255</v>
      </c>
      <c r="B14" s="71">
        <v>2000</v>
      </c>
      <c r="C14" s="71"/>
      <c r="D14" s="71">
        <v>2000</v>
      </c>
    </row>
    <row r="15" spans="1:4" ht="15" thickBot="1" x14ac:dyDescent="0.4">
      <c r="A15" s="76" t="s">
        <v>253</v>
      </c>
      <c r="B15" s="71">
        <v>100</v>
      </c>
      <c r="C15" s="71"/>
      <c r="D15" s="71">
        <v>100</v>
      </c>
    </row>
    <row r="16" spans="1:4" ht="15" thickBot="1" x14ac:dyDescent="0.4">
      <c r="A16" s="76" t="s">
        <v>256</v>
      </c>
      <c r="B16" s="71">
        <v>3000</v>
      </c>
      <c r="C16" s="71"/>
      <c r="D16" s="71">
        <v>3000</v>
      </c>
    </row>
    <row r="17" spans="1:4" ht="15" thickBot="1" x14ac:dyDescent="0.4">
      <c r="A17" s="53" t="s">
        <v>65</v>
      </c>
      <c r="B17" s="71">
        <v>9000</v>
      </c>
      <c r="C17" s="71"/>
      <c r="D17" s="71">
        <v>9000</v>
      </c>
    </row>
    <row r="18" spans="1:4" ht="15" thickBot="1" x14ac:dyDescent="0.4">
      <c r="A18" s="76" t="s">
        <v>255</v>
      </c>
      <c r="B18" s="71">
        <v>3000</v>
      </c>
      <c r="C18" s="71"/>
      <c r="D18" s="71">
        <v>3000</v>
      </c>
    </row>
    <row r="19" spans="1:4" ht="15" thickBot="1" x14ac:dyDescent="0.4">
      <c r="A19" s="76" t="s">
        <v>254</v>
      </c>
      <c r="B19" s="71">
        <v>3000</v>
      </c>
      <c r="C19" s="71"/>
      <c r="D19" s="71">
        <v>3000</v>
      </c>
    </row>
    <row r="20" spans="1:4" ht="15" thickBot="1" x14ac:dyDescent="0.4">
      <c r="A20" s="76" t="s">
        <v>256</v>
      </c>
      <c r="B20" s="71">
        <v>3000</v>
      </c>
      <c r="C20" s="71"/>
      <c r="D20" s="71">
        <v>3000</v>
      </c>
    </row>
    <row r="21" spans="1:4" ht="15" thickBot="1" x14ac:dyDescent="0.4">
      <c r="A21" s="53" t="s">
        <v>215</v>
      </c>
      <c r="B21" s="71">
        <v>1900</v>
      </c>
      <c r="C21" s="71"/>
      <c r="D21" s="71">
        <v>1900</v>
      </c>
    </row>
    <row r="22" spans="1:4" ht="15" thickBot="1" x14ac:dyDescent="0.4">
      <c r="A22" s="76" t="s">
        <v>254</v>
      </c>
      <c r="B22" s="71">
        <v>1000</v>
      </c>
      <c r="C22" s="71"/>
      <c r="D22" s="71">
        <v>1000</v>
      </c>
    </row>
    <row r="23" spans="1:4" ht="15" thickBot="1" x14ac:dyDescent="0.4">
      <c r="A23" s="76" t="s">
        <v>253</v>
      </c>
      <c r="B23" s="71">
        <v>400</v>
      </c>
      <c r="C23" s="71"/>
      <c r="D23" s="71">
        <v>400</v>
      </c>
    </row>
    <row r="24" spans="1:4" ht="15" thickBot="1" x14ac:dyDescent="0.4">
      <c r="A24" s="76" t="s">
        <v>256</v>
      </c>
      <c r="B24" s="71">
        <v>500</v>
      </c>
      <c r="C24" s="71"/>
      <c r="D24" s="71">
        <v>500</v>
      </c>
    </row>
    <row r="25" spans="1:4" ht="15" thickBot="1" x14ac:dyDescent="0.4">
      <c r="A25" s="53" t="s">
        <v>71</v>
      </c>
      <c r="B25" s="71">
        <v>500</v>
      </c>
      <c r="C25" s="71"/>
      <c r="D25" s="71">
        <v>500</v>
      </c>
    </row>
    <row r="26" spans="1:4" ht="15" thickBot="1" x14ac:dyDescent="0.4">
      <c r="A26" s="76" t="s">
        <v>255</v>
      </c>
      <c r="B26" s="71">
        <v>300</v>
      </c>
      <c r="C26" s="71"/>
      <c r="D26" s="71">
        <v>300</v>
      </c>
    </row>
    <row r="27" spans="1:4" ht="15" thickBot="1" x14ac:dyDescent="0.4">
      <c r="A27" s="76" t="s">
        <v>253</v>
      </c>
      <c r="B27" s="71">
        <v>200</v>
      </c>
      <c r="C27" s="71"/>
      <c r="D27" s="71">
        <v>200</v>
      </c>
    </row>
    <row r="28" spans="1:4" ht="15" thickBot="1" x14ac:dyDescent="0.4">
      <c r="A28" s="53" t="s">
        <v>210</v>
      </c>
      <c r="B28" s="71">
        <v>1000</v>
      </c>
      <c r="C28" s="71"/>
      <c r="D28" s="71">
        <v>1000</v>
      </c>
    </row>
    <row r="29" spans="1:4" ht="15" thickBot="1" x14ac:dyDescent="0.4">
      <c r="A29" s="76" t="s">
        <v>254</v>
      </c>
      <c r="B29" s="71">
        <v>1000</v>
      </c>
      <c r="C29" s="71"/>
      <c r="D29" s="71">
        <v>1000</v>
      </c>
    </row>
    <row r="30" spans="1:4" ht="15" thickBot="1" x14ac:dyDescent="0.4">
      <c r="A30" s="53" t="s">
        <v>203</v>
      </c>
      <c r="B30" s="71">
        <v>500</v>
      </c>
      <c r="C30" s="71"/>
      <c r="D30" s="71">
        <v>500</v>
      </c>
    </row>
    <row r="31" spans="1:4" ht="15" thickBot="1" x14ac:dyDescent="0.4">
      <c r="A31" s="76" t="s">
        <v>255</v>
      </c>
      <c r="B31" s="71">
        <v>200</v>
      </c>
      <c r="C31" s="71"/>
      <c r="D31" s="71">
        <v>200</v>
      </c>
    </row>
    <row r="32" spans="1:4" ht="15" thickBot="1" x14ac:dyDescent="0.4">
      <c r="A32" s="76" t="s">
        <v>254</v>
      </c>
      <c r="B32" s="71">
        <v>100</v>
      </c>
      <c r="C32" s="71"/>
      <c r="D32" s="71">
        <v>100</v>
      </c>
    </row>
    <row r="33" spans="1:4" ht="15" thickBot="1" x14ac:dyDescent="0.4">
      <c r="A33" s="76" t="s">
        <v>256</v>
      </c>
      <c r="B33" s="71">
        <v>200</v>
      </c>
      <c r="C33" s="71"/>
      <c r="D33" s="71">
        <v>200</v>
      </c>
    </row>
    <row r="34" spans="1:4" ht="15" thickBot="1" x14ac:dyDescent="0.4">
      <c r="A34" s="53" t="s">
        <v>59</v>
      </c>
      <c r="B34" s="71">
        <v>2000</v>
      </c>
      <c r="C34" s="71"/>
      <c r="D34" s="71">
        <v>2000</v>
      </c>
    </row>
    <row r="35" spans="1:4" ht="15" thickBot="1" x14ac:dyDescent="0.4">
      <c r="A35" s="76" t="s">
        <v>255</v>
      </c>
      <c r="B35" s="71">
        <v>500</v>
      </c>
      <c r="C35" s="71"/>
      <c r="D35" s="71">
        <v>500</v>
      </c>
    </row>
    <row r="36" spans="1:4" ht="15" thickBot="1" x14ac:dyDescent="0.4">
      <c r="A36" s="76" t="s">
        <v>254</v>
      </c>
      <c r="B36" s="71">
        <v>500</v>
      </c>
      <c r="C36" s="71"/>
      <c r="D36" s="71">
        <v>500</v>
      </c>
    </row>
    <row r="37" spans="1:4" ht="15" thickBot="1" x14ac:dyDescent="0.4">
      <c r="A37" s="76" t="s">
        <v>253</v>
      </c>
      <c r="B37" s="71">
        <v>500</v>
      </c>
      <c r="C37" s="71"/>
      <c r="D37" s="71">
        <v>500</v>
      </c>
    </row>
    <row r="38" spans="1:4" ht="15" thickBot="1" x14ac:dyDescent="0.4">
      <c r="A38" s="76" t="s">
        <v>256</v>
      </c>
      <c r="B38" s="71">
        <v>500</v>
      </c>
      <c r="C38" s="71"/>
      <c r="D38" s="71">
        <v>500</v>
      </c>
    </row>
    <row r="39" spans="1:4" ht="15" thickBot="1" x14ac:dyDescent="0.4">
      <c r="A39" s="53" t="s">
        <v>60</v>
      </c>
      <c r="B39" s="71">
        <v>100</v>
      </c>
      <c r="C39" s="71"/>
      <c r="D39" s="71">
        <v>100</v>
      </c>
    </row>
    <row r="40" spans="1:4" ht="15" thickBot="1" x14ac:dyDescent="0.4">
      <c r="A40" s="76" t="s">
        <v>256</v>
      </c>
      <c r="B40" s="71">
        <v>100</v>
      </c>
      <c r="C40" s="71"/>
      <c r="D40" s="71">
        <v>100</v>
      </c>
    </row>
    <row r="41" spans="1:4" ht="15" thickBot="1" x14ac:dyDescent="0.4">
      <c r="A41" s="73">
        <v>45846</v>
      </c>
      <c r="B41" s="71">
        <v>7000</v>
      </c>
      <c r="C41" s="71"/>
      <c r="D41" s="71">
        <v>7000</v>
      </c>
    </row>
    <row r="42" spans="1:4" ht="15" thickBot="1" x14ac:dyDescent="0.4">
      <c r="A42" s="85" t="s">
        <v>14</v>
      </c>
      <c r="B42" s="71">
        <v>7000</v>
      </c>
      <c r="C42" s="71"/>
      <c r="D42" s="71">
        <v>7000</v>
      </c>
    </row>
    <row r="43" spans="1:4" ht="15" thickBot="1" x14ac:dyDescent="0.4">
      <c r="A43" s="53" t="s">
        <v>48</v>
      </c>
      <c r="B43" s="71">
        <v>500</v>
      </c>
      <c r="C43" s="71"/>
      <c r="D43" s="71">
        <v>500</v>
      </c>
    </row>
    <row r="44" spans="1:4" ht="15" thickBot="1" x14ac:dyDescent="0.4">
      <c r="A44" s="76" t="s">
        <v>257</v>
      </c>
      <c r="B44" s="71">
        <v>500</v>
      </c>
      <c r="C44" s="71"/>
      <c r="D44" s="71">
        <v>500</v>
      </c>
    </row>
    <row r="45" spans="1:4" ht="15" thickBot="1" x14ac:dyDescent="0.4">
      <c r="A45" s="53" t="s">
        <v>64</v>
      </c>
      <c r="B45" s="71">
        <v>3000</v>
      </c>
      <c r="C45" s="71"/>
      <c r="D45" s="71">
        <v>3000</v>
      </c>
    </row>
    <row r="46" spans="1:4" ht="15" thickBot="1" x14ac:dyDescent="0.4">
      <c r="A46" s="76" t="s">
        <v>257</v>
      </c>
      <c r="B46" s="71">
        <v>3000</v>
      </c>
      <c r="C46" s="71"/>
      <c r="D46" s="71">
        <v>3000</v>
      </c>
    </row>
    <row r="47" spans="1:4" ht="15" thickBot="1" x14ac:dyDescent="0.4">
      <c r="A47" s="53" t="s">
        <v>65</v>
      </c>
      <c r="B47" s="71">
        <v>3000</v>
      </c>
      <c r="C47" s="71"/>
      <c r="D47" s="71">
        <v>3000</v>
      </c>
    </row>
    <row r="48" spans="1:4" ht="15" thickBot="1" x14ac:dyDescent="0.4">
      <c r="A48" s="76" t="s">
        <v>257</v>
      </c>
      <c r="B48" s="71">
        <v>3000</v>
      </c>
      <c r="C48" s="71"/>
      <c r="D48" s="71">
        <v>3000</v>
      </c>
    </row>
    <row r="49" spans="1:4" ht="15" thickBot="1" x14ac:dyDescent="0.4">
      <c r="A49" s="53" t="s">
        <v>59</v>
      </c>
      <c r="B49" s="71">
        <v>500</v>
      </c>
      <c r="C49" s="71"/>
      <c r="D49" s="71">
        <v>500</v>
      </c>
    </row>
    <row r="50" spans="1:4" ht="15" thickBot="1" x14ac:dyDescent="0.4">
      <c r="A50" s="76" t="s">
        <v>257</v>
      </c>
      <c r="B50" s="71">
        <v>500</v>
      </c>
      <c r="C50" s="71"/>
      <c r="D50" s="71">
        <v>500</v>
      </c>
    </row>
    <row r="51" spans="1:4" ht="15" thickBot="1" x14ac:dyDescent="0.4">
      <c r="A51" s="73">
        <v>45847</v>
      </c>
      <c r="B51" s="71">
        <v>8030</v>
      </c>
      <c r="C51" s="71"/>
      <c r="D51" s="71">
        <v>8030</v>
      </c>
    </row>
    <row r="52" spans="1:4" ht="15" thickBot="1" x14ac:dyDescent="0.4">
      <c r="A52" s="85" t="s">
        <v>14</v>
      </c>
      <c r="B52" s="71">
        <v>8030</v>
      </c>
      <c r="C52" s="71"/>
      <c r="D52" s="71">
        <v>8030</v>
      </c>
    </row>
    <row r="53" spans="1:4" ht="15" thickBot="1" x14ac:dyDescent="0.4">
      <c r="A53" s="53" t="s">
        <v>49</v>
      </c>
      <c r="B53" s="71">
        <v>150</v>
      </c>
      <c r="C53" s="71"/>
      <c r="D53" s="71">
        <v>150</v>
      </c>
    </row>
    <row r="54" spans="1:4" ht="15" thickBot="1" x14ac:dyDescent="0.4">
      <c r="A54" s="76" t="s">
        <v>258</v>
      </c>
      <c r="B54" s="71">
        <v>150</v>
      </c>
      <c r="C54" s="71"/>
      <c r="D54" s="71">
        <v>150</v>
      </c>
    </row>
    <row r="55" spans="1:4" ht="15" thickBot="1" x14ac:dyDescent="0.4">
      <c r="A55" s="53" t="s">
        <v>64</v>
      </c>
      <c r="B55" s="71">
        <v>2000</v>
      </c>
      <c r="C55" s="71"/>
      <c r="D55" s="71">
        <v>2000</v>
      </c>
    </row>
    <row r="56" spans="1:4" ht="15" thickBot="1" x14ac:dyDescent="0.4">
      <c r="A56" s="76" t="s">
        <v>258</v>
      </c>
      <c r="B56" s="71">
        <v>2000</v>
      </c>
      <c r="C56" s="71"/>
      <c r="D56" s="71">
        <v>2000</v>
      </c>
    </row>
    <row r="57" spans="1:4" ht="15" thickBot="1" x14ac:dyDescent="0.4">
      <c r="A57" s="53" t="s">
        <v>65</v>
      </c>
      <c r="B57" s="71">
        <v>5000</v>
      </c>
      <c r="C57" s="71"/>
      <c r="D57" s="71">
        <v>5000</v>
      </c>
    </row>
    <row r="58" spans="1:4" ht="15" thickBot="1" x14ac:dyDescent="0.4">
      <c r="A58" s="76" t="s">
        <v>253</v>
      </c>
      <c r="B58" s="71">
        <v>3000</v>
      </c>
      <c r="C58" s="71"/>
      <c r="D58" s="71">
        <v>3000</v>
      </c>
    </row>
    <row r="59" spans="1:4" ht="15" thickBot="1" x14ac:dyDescent="0.4">
      <c r="A59" s="76" t="s">
        <v>258</v>
      </c>
      <c r="B59" s="71">
        <v>2000</v>
      </c>
      <c r="C59" s="71"/>
      <c r="D59" s="71">
        <v>2000</v>
      </c>
    </row>
    <row r="60" spans="1:4" ht="15" thickBot="1" x14ac:dyDescent="0.4">
      <c r="A60" s="53" t="s">
        <v>215</v>
      </c>
      <c r="B60" s="71">
        <v>100</v>
      </c>
      <c r="C60" s="71"/>
      <c r="D60" s="71">
        <v>100</v>
      </c>
    </row>
    <row r="61" spans="1:4" ht="15" thickBot="1" x14ac:dyDescent="0.4">
      <c r="A61" s="76" t="s">
        <v>258</v>
      </c>
      <c r="B61" s="71">
        <v>100</v>
      </c>
      <c r="C61" s="71"/>
      <c r="D61" s="71">
        <v>100</v>
      </c>
    </row>
    <row r="62" spans="1:4" ht="15" thickBot="1" x14ac:dyDescent="0.4">
      <c r="A62" s="53" t="s">
        <v>203</v>
      </c>
      <c r="B62" s="71">
        <v>200</v>
      </c>
      <c r="C62" s="71"/>
      <c r="D62" s="71">
        <v>200</v>
      </c>
    </row>
    <row r="63" spans="1:4" ht="15" thickBot="1" x14ac:dyDescent="0.4">
      <c r="A63" s="76" t="s">
        <v>258</v>
      </c>
      <c r="B63" s="71">
        <v>200</v>
      </c>
      <c r="C63" s="71"/>
      <c r="D63" s="71">
        <v>200</v>
      </c>
    </row>
    <row r="64" spans="1:4" ht="15" thickBot="1" x14ac:dyDescent="0.4">
      <c r="A64" s="53" t="s">
        <v>59</v>
      </c>
      <c r="B64" s="71">
        <v>500</v>
      </c>
      <c r="C64" s="71"/>
      <c r="D64" s="71">
        <v>500</v>
      </c>
    </row>
    <row r="65" spans="1:4" ht="15" thickBot="1" x14ac:dyDescent="0.4">
      <c r="A65" s="76" t="s">
        <v>258</v>
      </c>
      <c r="B65" s="71">
        <v>500</v>
      </c>
      <c r="C65" s="71"/>
      <c r="D65" s="71">
        <v>500</v>
      </c>
    </row>
    <row r="66" spans="1:4" ht="15" thickBot="1" x14ac:dyDescent="0.4">
      <c r="A66" s="53" t="s">
        <v>60</v>
      </c>
      <c r="B66" s="71">
        <v>80</v>
      </c>
      <c r="C66" s="71"/>
      <c r="D66" s="71">
        <v>80</v>
      </c>
    </row>
    <row r="67" spans="1:4" ht="15" thickBot="1" x14ac:dyDescent="0.4">
      <c r="A67" s="76" t="s">
        <v>258</v>
      </c>
      <c r="B67" s="71">
        <v>80</v>
      </c>
      <c r="C67" s="71"/>
      <c r="D67" s="71">
        <v>80</v>
      </c>
    </row>
    <row r="68" spans="1:4" ht="15" thickBot="1" x14ac:dyDescent="0.4">
      <c r="A68" s="73">
        <v>45849</v>
      </c>
      <c r="B68" s="71">
        <v>10200</v>
      </c>
      <c r="C68" s="71"/>
      <c r="D68" s="71">
        <v>10200</v>
      </c>
    </row>
    <row r="69" spans="1:4" ht="15" thickBot="1" x14ac:dyDescent="0.4">
      <c r="A69" s="85" t="s">
        <v>14</v>
      </c>
      <c r="B69" s="71">
        <v>10200</v>
      </c>
      <c r="C69" s="71"/>
      <c r="D69" s="71">
        <v>10200</v>
      </c>
    </row>
    <row r="70" spans="1:4" ht="15" thickBot="1" x14ac:dyDescent="0.4">
      <c r="A70" s="53" t="s">
        <v>48</v>
      </c>
      <c r="B70" s="71">
        <v>500</v>
      </c>
      <c r="C70" s="71"/>
      <c r="D70" s="71">
        <v>500</v>
      </c>
    </row>
    <row r="71" spans="1:4" ht="15" thickBot="1" x14ac:dyDescent="0.4">
      <c r="A71" s="76" t="s">
        <v>260</v>
      </c>
      <c r="B71" s="71">
        <v>500</v>
      </c>
      <c r="C71" s="71"/>
      <c r="D71" s="71">
        <v>500</v>
      </c>
    </row>
    <row r="72" spans="1:4" ht="15" thickBot="1" x14ac:dyDescent="0.4">
      <c r="A72" s="53" t="s">
        <v>49</v>
      </c>
      <c r="B72" s="71">
        <v>700</v>
      </c>
      <c r="C72" s="71"/>
      <c r="D72" s="71">
        <v>700</v>
      </c>
    </row>
    <row r="73" spans="1:4" ht="15" thickBot="1" x14ac:dyDescent="0.4">
      <c r="A73" s="76" t="s">
        <v>259</v>
      </c>
      <c r="B73" s="71">
        <v>300</v>
      </c>
      <c r="C73" s="71"/>
      <c r="D73" s="71">
        <v>300</v>
      </c>
    </row>
    <row r="74" spans="1:4" ht="15" thickBot="1" x14ac:dyDescent="0.4">
      <c r="A74" s="76" t="s">
        <v>260</v>
      </c>
      <c r="B74" s="71">
        <v>400</v>
      </c>
      <c r="C74" s="71"/>
      <c r="D74" s="71">
        <v>400</v>
      </c>
    </row>
    <row r="75" spans="1:4" ht="15" thickBot="1" x14ac:dyDescent="0.4">
      <c r="A75" s="53" t="s">
        <v>54</v>
      </c>
      <c r="B75" s="71">
        <v>200</v>
      </c>
      <c r="C75" s="71"/>
      <c r="D75" s="71">
        <v>200</v>
      </c>
    </row>
    <row r="76" spans="1:4" ht="15" thickBot="1" x14ac:dyDescent="0.4">
      <c r="A76" s="76" t="s">
        <v>217</v>
      </c>
      <c r="B76" s="71">
        <v>200</v>
      </c>
      <c r="C76" s="71"/>
      <c r="D76" s="71">
        <v>200</v>
      </c>
    </row>
    <row r="77" spans="1:4" ht="15" thickBot="1" x14ac:dyDescent="0.4">
      <c r="A77" s="53" t="s">
        <v>57</v>
      </c>
      <c r="B77" s="71">
        <v>200</v>
      </c>
      <c r="C77" s="71"/>
      <c r="D77" s="71">
        <v>200</v>
      </c>
    </row>
    <row r="78" spans="1:4" ht="15" thickBot="1" x14ac:dyDescent="0.4">
      <c r="A78" s="76" t="s">
        <v>217</v>
      </c>
      <c r="B78" s="71">
        <v>200</v>
      </c>
      <c r="C78" s="71"/>
      <c r="D78" s="71">
        <v>200</v>
      </c>
    </row>
    <row r="79" spans="1:4" ht="15" thickBot="1" x14ac:dyDescent="0.4">
      <c r="A79" s="53" t="s">
        <v>64</v>
      </c>
      <c r="B79" s="71">
        <v>3000</v>
      </c>
      <c r="C79" s="71"/>
      <c r="D79" s="71">
        <v>3000</v>
      </c>
    </row>
    <row r="80" spans="1:4" ht="15" thickBot="1" x14ac:dyDescent="0.4">
      <c r="A80" s="76" t="s">
        <v>260</v>
      </c>
      <c r="B80" s="71">
        <v>3000</v>
      </c>
      <c r="C80" s="71"/>
      <c r="D80" s="71">
        <v>3000</v>
      </c>
    </row>
    <row r="81" spans="1:4" ht="15" thickBot="1" x14ac:dyDescent="0.4">
      <c r="A81" s="53" t="s">
        <v>65</v>
      </c>
      <c r="B81" s="71">
        <v>3000</v>
      </c>
      <c r="C81" s="71"/>
      <c r="D81" s="71">
        <v>3000</v>
      </c>
    </row>
    <row r="82" spans="1:4" ht="15" thickBot="1" x14ac:dyDescent="0.4">
      <c r="A82" s="76" t="s">
        <v>260</v>
      </c>
      <c r="B82" s="71">
        <v>3000</v>
      </c>
      <c r="C82" s="71"/>
      <c r="D82" s="71">
        <v>3000</v>
      </c>
    </row>
    <row r="83" spans="1:4" ht="15" thickBot="1" x14ac:dyDescent="0.4">
      <c r="A83" s="53" t="s">
        <v>215</v>
      </c>
      <c r="B83" s="71">
        <v>1000</v>
      </c>
      <c r="C83" s="71"/>
      <c r="D83" s="71">
        <v>1000</v>
      </c>
    </row>
    <row r="84" spans="1:4" ht="15" thickBot="1" x14ac:dyDescent="0.4">
      <c r="A84" s="76" t="s">
        <v>259</v>
      </c>
      <c r="B84" s="71">
        <v>500</v>
      </c>
      <c r="C84" s="71"/>
      <c r="D84" s="71">
        <v>500</v>
      </c>
    </row>
    <row r="85" spans="1:4" ht="15" thickBot="1" x14ac:dyDescent="0.4">
      <c r="A85" s="76" t="s">
        <v>260</v>
      </c>
      <c r="B85" s="71">
        <v>500</v>
      </c>
      <c r="C85" s="71"/>
      <c r="D85" s="71">
        <v>500</v>
      </c>
    </row>
    <row r="86" spans="1:4" ht="15" thickBot="1" x14ac:dyDescent="0.4">
      <c r="A86" s="53" t="s">
        <v>71</v>
      </c>
      <c r="B86" s="71">
        <v>300</v>
      </c>
      <c r="C86" s="71"/>
      <c r="D86" s="71">
        <v>300</v>
      </c>
    </row>
    <row r="87" spans="1:4" ht="15" thickBot="1" x14ac:dyDescent="0.4">
      <c r="A87" s="76" t="s">
        <v>259</v>
      </c>
      <c r="B87" s="71">
        <v>300</v>
      </c>
      <c r="C87" s="71"/>
      <c r="D87" s="71">
        <v>300</v>
      </c>
    </row>
    <row r="88" spans="1:4" ht="15" thickBot="1" x14ac:dyDescent="0.4">
      <c r="A88" s="53" t="s">
        <v>203</v>
      </c>
      <c r="B88" s="71">
        <v>200</v>
      </c>
      <c r="C88" s="71"/>
      <c r="D88" s="71">
        <v>200</v>
      </c>
    </row>
    <row r="89" spans="1:4" ht="15" thickBot="1" x14ac:dyDescent="0.4">
      <c r="A89" s="76" t="s">
        <v>259</v>
      </c>
      <c r="B89" s="71">
        <v>200</v>
      </c>
      <c r="C89" s="71"/>
      <c r="D89" s="71">
        <v>200</v>
      </c>
    </row>
    <row r="90" spans="1:4" ht="15" thickBot="1" x14ac:dyDescent="0.4">
      <c r="A90" s="53" t="s">
        <v>59</v>
      </c>
      <c r="B90" s="71">
        <v>1000</v>
      </c>
      <c r="C90" s="71"/>
      <c r="D90" s="71">
        <v>1000</v>
      </c>
    </row>
    <row r="91" spans="1:4" ht="15" thickBot="1" x14ac:dyDescent="0.4">
      <c r="A91" s="76" t="s">
        <v>259</v>
      </c>
      <c r="B91" s="71">
        <v>500</v>
      </c>
      <c r="C91" s="71"/>
      <c r="D91" s="71">
        <v>500</v>
      </c>
    </row>
    <row r="92" spans="1:4" ht="15" thickBot="1" x14ac:dyDescent="0.4">
      <c r="A92" s="76" t="s">
        <v>260</v>
      </c>
      <c r="B92" s="71">
        <v>500</v>
      </c>
      <c r="C92" s="71"/>
      <c r="D92" s="71">
        <v>500</v>
      </c>
    </row>
    <row r="93" spans="1:4" ht="15" thickBot="1" x14ac:dyDescent="0.4">
      <c r="A93" s="53" t="s">
        <v>58</v>
      </c>
      <c r="B93" s="71">
        <v>100</v>
      </c>
      <c r="C93" s="71"/>
      <c r="D93" s="71">
        <v>100</v>
      </c>
    </row>
    <row r="94" spans="1:4" ht="15" thickBot="1" x14ac:dyDescent="0.4">
      <c r="A94" s="76" t="s">
        <v>259</v>
      </c>
      <c r="B94" s="71">
        <v>100</v>
      </c>
      <c r="C94" s="71"/>
      <c r="D94" s="71">
        <v>100</v>
      </c>
    </row>
    <row r="95" spans="1:4" ht="15" thickBot="1" x14ac:dyDescent="0.4">
      <c r="A95" s="73">
        <v>45852</v>
      </c>
      <c r="B95" s="71">
        <v>6300</v>
      </c>
      <c r="C95" s="71"/>
      <c r="D95" s="71">
        <v>6300</v>
      </c>
    </row>
    <row r="96" spans="1:4" ht="15" thickBot="1" x14ac:dyDescent="0.4">
      <c r="A96" s="85" t="s">
        <v>14</v>
      </c>
      <c r="B96" s="71">
        <v>6300</v>
      </c>
      <c r="C96" s="71"/>
      <c r="D96" s="71">
        <v>6300</v>
      </c>
    </row>
    <row r="97" spans="1:4" ht="15" thickBot="1" x14ac:dyDescent="0.4">
      <c r="A97" s="53" t="s">
        <v>48</v>
      </c>
      <c r="B97" s="71">
        <v>500</v>
      </c>
      <c r="C97" s="71"/>
      <c r="D97" s="71">
        <v>500</v>
      </c>
    </row>
    <row r="98" spans="1:4" ht="15" thickBot="1" x14ac:dyDescent="0.4">
      <c r="A98" s="76" t="s">
        <v>262</v>
      </c>
      <c r="B98" s="71">
        <v>500</v>
      </c>
      <c r="C98" s="71"/>
      <c r="D98" s="71">
        <v>500</v>
      </c>
    </row>
    <row r="99" spans="1:4" ht="15" thickBot="1" x14ac:dyDescent="0.4">
      <c r="A99" s="53" t="s">
        <v>49</v>
      </c>
      <c r="B99" s="71">
        <v>500</v>
      </c>
      <c r="C99" s="71"/>
      <c r="D99" s="71">
        <v>500</v>
      </c>
    </row>
    <row r="100" spans="1:4" ht="15" thickBot="1" x14ac:dyDescent="0.4">
      <c r="A100" s="76" t="s">
        <v>262</v>
      </c>
      <c r="B100" s="71">
        <v>500</v>
      </c>
      <c r="C100" s="71"/>
      <c r="D100" s="71">
        <v>500</v>
      </c>
    </row>
    <row r="101" spans="1:4" ht="15" thickBot="1" x14ac:dyDescent="0.4">
      <c r="A101" s="53" t="s">
        <v>54</v>
      </c>
      <c r="B101" s="71">
        <v>300</v>
      </c>
      <c r="C101" s="71"/>
      <c r="D101" s="71">
        <v>300</v>
      </c>
    </row>
    <row r="102" spans="1:4" ht="15" thickBot="1" x14ac:dyDescent="0.4">
      <c r="A102" s="76" t="s">
        <v>261</v>
      </c>
      <c r="B102" s="71">
        <v>300</v>
      </c>
      <c r="C102" s="71"/>
      <c r="D102" s="71">
        <v>300</v>
      </c>
    </row>
    <row r="103" spans="1:4" ht="15" thickBot="1" x14ac:dyDescent="0.4">
      <c r="A103" s="53" t="s">
        <v>64</v>
      </c>
      <c r="B103" s="71">
        <v>4000</v>
      </c>
      <c r="C103" s="71"/>
      <c r="D103" s="71">
        <v>4000</v>
      </c>
    </row>
    <row r="104" spans="1:4" ht="15" thickBot="1" x14ac:dyDescent="0.4">
      <c r="A104" s="76" t="s">
        <v>262</v>
      </c>
      <c r="B104" s="71">
        <v>4000</v>
      </c>
      <c r="C104" s="71"/>
      <c r="D104" s="71">
        <v>4000</v>
      </c>
    </row>
    <row r="105" spans="1:4" ht="15" thickBot="1" x14ac:dyDescent="0.4">
      <c r="A105" s="53" t="s">
        <v>215</v>
      </c>
      <c r="B105" s="71">
        <v>500</v>
      </c>
      <c r="C105" s="71"/>
      <c r="D105" s="71">
        <v>500</v>
      </c>
    </row>
    <row r="106" spans="1:4" ht="15" thickBot="1" x14ac:dyDescent="0.4">
      <c r="A106" s="76" t="s">
        <v>262</v>
      </c>
      <c r="B106" s="71">
        <v>500</v>
      </c>
      <c r="C106" s="71"/>
      <c r="D106" s="71">
        <v>500</v>
      </c>
    </row>
    <row r="107" spans="1:4" ht="15" thickBot="1" x14ac:dyDescent="0.4">
      <c r="A107" s="53" t="s">
        <v>71</v>
      </c>
      <c r="B107" s="71">
        <v>300</v>
      </c>
      <c r="C107" s="71"/>
      <c r="D107" s="71">
        <v>300</v>
      </c>
    </row>
    <row r="108" spans="1:4" ht="15" thickBot="1" x14ac:dyDescent="0.4">
      <c r="A108" s="76" t="s">
        <v>262</v>
      </c>
      <c r="B108" s="71">
        <v>300</v>
      </c>
      <c r="C108" s="71"/>
      <c r="D108" s="71">
        <v>300</v>
      </c>
    </row>
    <row r="109" spans="1:4" ht="15" thickBot="1" x14ac:dyDescent="0.4">
      <c r="A109" s="53" t="s">
        <v>203</v>
      </c>
      <c r="B109" s="71">
        <v>200</v>
      </c>
      <c r="C109" s="71"/>
      <c r="D109" s="71">
        <v>200</v>
      </c>
    </row>
    <row r="110" spans="1:4" ht="15" thickBot="1" x14ac:dyDescent="0.4">
      <c r="A110" s="76" t="s">
        <v>262</v>
      </c>
      <c r="B110" s="71">
        <v>200</v>
      </c>
      <c r="C110" s="71"/>
      <c r="D110" s="71">
        <v>200</v>
      </c>
    </row>
    <row r="111" spans="1:4" ht="15" thickBot="1" x14ac:dyDescent="0.4">
      <c r="A111" s="73">
        <v>45853</v>
      </c>
      <c r="B111" s="71">
        <v>3860</v>
      </c>
      <c r="C111" s="71"/>
      <c r="D111" s="71">
        <v>3860</v>
      </c>
    </row>
    <row r="112" spans="1:4" ht="15" thickBot="1" x14ac:dyDescent="0.4">
      <c r="A112" s="85" t="s">
        <v>14</v>
      </c>
      <c r="B112" s="71">
        <v>3860</v>
      </c>
      <c r="C112" s="71"/>
      <c r="D112" s="71">
        <v>3860</v>
      </c>
    </row>
    <row r="113" spans="1:4" ht="15" thickBot="1" x14ac:dyDescent="0.4">
      <c r="A113" s="53" t="s">
        <v>56</v>
      </c>
      <c r="B113" s="71">
        <v>200</v>
      </c>
      <c r="C113" s="71"/>
      <c r="D113" s="71">
        <v>200</v>
      </c>
    </row>
    <row r="114" spans="1:4" ht="15" thickBot="1" x14ac:dyDescent="0.4">
      <c r="A114" s="76" t="s">
        <v>263</v>
      </c>
      <c r="B114" s="71">
        <v>200</v>
      </c>
      <c r="C114" s="71"/>
      <c r="D114" s="71">
        <v>200</v>
      </c>
    </row>
    <row r="115" spans="1:4" ht="15" thickBot="1" x14ac:dyDescent="0.4">
      <c r="A115" s="53" t="s">
        <v>54</v>
      </c>
      <c r="B115" s="71">
        <v>1300</v>
      </c>
      <c r="C115" s="71"/>
      <c r="D115" s="71">
        <v>1300</v>
      </c>
    </row>
    <row r="116" spans="1:4" ht="15" thickBot="1" x14ac:dyDescent="0.4">
      <c r="A116" s="76" t="s">
        <v>264</v>
      </c>
      <c r="B116" s="71">
        <v>500</v>
      </c>
      <c r="C116" s="71"/>
      <c r="D116" s="71">
        <v>500</v>
      </c>
    </row>
    <row r="117" spans="1:4" ht="15" thickBot="1" x14ac:dyDescent="0.4">
      <c r="A117" s="76" t="s">
        <v>266</v>
      </c>
      <c r="B117" s="71">
        <v>500</v>
      </c>
      <c r="C117" s="71"/>
      <c r="D117" s="71">
        <v>500</v>
      </c>
    </row>
    <row r="118" spans="1:4" ht="15" thickBot="1" x14ac:dyDescent="0.4">
      <c r="A118" s="76" t="s">
        <v>267</v>
      </c>
      <c r="B118" s="71">
        <v>100</v>
      </c>
      <c r="C118" s="71"/>
      <c r="D118" s="71">
        <v>100</v>
      </c>
    </row>
    <row r="119" spans="1:4" ht="15" thickBot="1" x14ac:dyDescent="0.4">
      <c r="A119" s="76" t="s">
        <v>263</v>
      </c>
      <c r="B119" s="71">
        <v>200</v>
      </c>
      <c r="C119" s="71"/>
      <c r="D119" s="71">
        <v>200</v>
      </c>
    </row>
    <row r="120" spans="1:4" ht="15" thickBot="1" x14ac:dyDescent="0.4">
      <c r="A120" s="53" t="s">
        <v>57</v>
      </c>
      <c r="B120" s="71">
        <v>1300</v>
      </c>
      <c r="C120" s="71"/>
      <c r="D120" s="71">
        <v>1300</v>
      </c>
    </row>
    <row r="121" spans="1:4" ht="15" thickBot="1" x14ac:dyDescent="0.4">
      <c r="A121" s="76" t="s">
        <v>264</v>
      </c>
      <c r="B121" s="71">
        <v>500</v>
      </c>
      <c r="C121" s="71"/>
      <c r="D121" s="71">
        <v>500</v>
      </c>
    </row>
    <row r="122" spans="1:4" ht="15" thickBot="1" x14ac:dyDescent="0.4">
      <c r="A122" s="76" t="s">
        <v>266</v>
      </c>
      <c r="B122" s="71">
        <v>500</v>
      </c>
      <c r="C122" s="71"/>
      <c r="D122" s="71">
        <v>500</v>
      </c>
    </row>
    <row r="123" spans="1:4" ht="15" thickBot="1" x14ac:dyDescent="0.4">
      <c r="A123" s="76" t="s">
        <v>265</v>
      </c>
      <c r="B123" s="71">
        <v>200</v>
      </c>
      <c r="C123" s="71"/>
      <c r="D123" s="71">
        <v>200</v>
      </c>
    </row>
    <row r="124" spans="1:4" ht="15" thickBot="1" x14ac:dyDescent="0.4">
      <c r="A124" s="76" t="s">
        <v>263</v>
      </c>
      <c r="B124" s="71">
        <v>100</v>
      </c>
      <c r="C124" s="71"/>
      <c r="D124" s="71">
        <v>100</v>
      </c>
    </row>
    <row r="125" spans="1:4" ht="15" thickBot="1" x14ac:dyDescent="0.4">
      <c r="A125" s="53" t="s">
        <v>65</v>
      </c>
      <c r="B125" s="71">
        <v>1000</v>
      </c>
      <c r="C125" s="71"/>
      <c r="D125" s="71">
        <v>1000</v>
      </c>
    </row>
    <row r="126" spans="1:4" ht="15" thickBot="1" x14ac:dyDescent="0.4">
      <c r="A126" s="76" t="s">
        <v>263</v>
      </c>
      <c r="B126" s="71">
        <v>1000</v>
      </c>
      <c r="C126" s="71"/>
      <c r="D126" s="71">
        <v>1000</v>
      </c>
    </row>
    <row r="127" spans="1:4" ht="15" thickBot="1" x14ac:dyDescent="0.4">
      <c r="A127" s="53" t="s">
        <v>61</v>
      </c>
      <c r="B127" s="71">
        <v>60</v>
      </c>
      <c r="C127" s="71"/>
      <c r="D127" s="71">
        <v>60</v>
      </c>
    </row>
    <row r="128" spans="1:4" ht="15" thickBot="1" x14ac:dyDescent="0.4">
      <c r="A128" s="76" t="s">
        <v>265</v>
      </c>
      <c r="B128" s="71">
        <v>60</v>
      </c>
      <c r="C128" s="71"/>
      <c r="D128" s="71">
        <v>60</v>
      </c>
    </row>
    <row r="129" spans="1:4" ht="15" thickBot="1" x14ac:dyDescent="0.4">
      <c r="A129" s="73">
        <v>45854</v>
      </c>
      <c r="B129" s="71">
        <v>210</v>
      </c>
      <c r="C129" s="71"/>
      <c r="D129" s="71">
        <v>210</v>
      </c>
    </row>
    <row r="130" spans="1:4" ht="15" thickBot="1" x14ac:dyDescent="0.4">
      <c r="A130" s="85" t="s">
        <v>14</v>
      </c>
      <c r="B130" s="71">
        <v>210</v>
      </c>
      <c r="C130" s="71"/>
      <c r="D130" s="71">
        <v>210</v>
      </c>
    </row>
    <row r="131" spans="1:4" ht="15" thickBot="1" x14ac:dyDescent="0.4">
      <c r="A131" s="53" t="s">
        <v>56</v>
      </c>
      <c r="B131" s="71">
        <v>50</v>
      </c>
      <c r="C131" s="71"/>
      <c r="D131" s="71">
        <v>50</v>
      </c>
    </row>
    <row r="132" spans="1:4" ht="15" thickBot="1" x14ac:dyDescent="0.4">
      <c r="A132" s="76" t="s">
        <v>269</v>
      </c>
      <c r="B132" s="71">
        <v>50</v>
      </c>
      <c r="C132" s="71"/>
      <c r="D132" s="71">
        <v>50</v>
      </c>
    </row>
    <row r="133" spans="1:4" ht="15" thickBot="1" x14ac:dyDescent="0.4">
      <c r="A133" s="53" t="s">
        <v>54</v>
      </c>
      <c r="B133" s="71">
        <v>100</v>
      </c>
      <c r="C133" s="71"/>
      <c r="D133" s="71">
        <v>100</v>
      </c>
    </row>
    <row r="134" spans="1:4" ht="15" thickBot="1" x14ac:dyDescent="0.4">
      <c r="A134" s="76" t="s">
        <v>268</v>
      </c>
      <c r="B134" s="71">
        <v>100</v>
      </c>
      <c r="C134" s="71"/>
      <c r="D134" s="71">
        <v>100</v>
      </c>
    </row>
    <row r="135" spans="1:4" ht="15" thickBot="1" x14ac:dyDescent="0.4">
      <c r="A135" s="53" t="s">
        <v>57</v>
      </c>
      <c r="B135" s="71">
        <v>60</v>
      </c>
      <c r="C135" s="71"/>
      <c r="D135" s="71">
        <v>60</v>
      </c>
    </row>
    <row r="136" spans="1:4" ht="15" thickBot="1" x14ac:dyDescent="0.4">
      <c r="A136" s="76" t="s">
        <v>268</v>
      </c>
      <c r="B136" s="71">
        <v>50</v>
      </c>
      <c r="C136" s="71"/>
      <c r="D136" s="71">
        <v>50</v>
      </c>
    </row>
    <row r="137" spans="1:4" ht="15" thickBot="1" x14ac:dyDescent="0.4">
      <c r="A137" s="76" t="s">
        <v>269</v>
      </c>
      <c r="B137" s="71">
        <v>10</v>
      </c>
      <c r="C137" s="71"/>
      <c r="D137" s="71">
        <v>10</v>
      </c>
    </row>
    <row r="138" spans="1:4" ht="15" thickBot="1" x14ac:dyDescent="0.4">
      <c r="A138" s="73">
        <v>45855</v>
      </c>
      <c r="B138" s="71">
        <v>10300</v>
      </c>
      <c r="C138" s="71"/>
      <c r="D138" s="71">
        <v>10300</v>
      </c>
    </row>
    <row r="139" spans="1:4" ht="15" thickBot="1" x14ac:dyDescent="0.4">
      <c r="A139" s="85" t="s">
        <v>14</v>
      </c>
      <c r="B139" s="71">
        <v>10300</v>
      </c>
      <c r="C139" s="71"/>
      <c r="D139" s="71">
        <v>10300</v>
      </c>
    </row>
    <row r="140" spans="1:4" ht="15" thickBot="1" x14ac:dyDescent="0.4">
      <c r="A140" s="53" t="s">
        <v>48</v>
      </c>
      <c r="B140" s="71">
        <v>1000</v>
      </c>
      <c r="C140" s="71"/>
      <c r="D140" s="71">
        <v>1000</v>
      </c>
    </row>
    <row r="141" spans="1:4" ht="15" thickBot="1" x14ac:dyDescent="0.4">
      <c r="A141" s="76" t="s">
        <v>257</v>
      </c>
      <c r="B141" s="71">
        <v>500</v>
      </c>
      <c r="C141" s="71"/>
      <c r="D141" s="71">
        <v>500</v>
      </c>
    </row>
    <row r="142" spans="1:4" ht="15" thickBot="1" x14ac:dyDescent="0.4">
      <c r="A142" s="76" t="s">
        <v>271</v>
      </c>
      <c r="B142" s="71">
        <v>500</v>
      </c>
      <c r="C142" s="71"/>
      <c r="D142" s="71">
        <v>500</v>
      </c>
    </row>
    <row r="143" spans="1:4" ht="15" thickBot="1" x14ac:dyDescent="0.4">
      <c r="A143" s="53" t="s">
        <v>49</v>
      </c>
      <c r="B143" s="71">
        <v>400</v>
      </c>
      <c r="C143" s="71"/>
      <c r="D143" s="71">
        <v>400</v>
      </c>
    </row>
    <row r="144" spans="1:4" ht="15" thickBot="1" x14ac:dyDescent="0.4">
      <c r="A144" s="76" t="s">
        <v>271</v>
      </c>
      <c r="B144" s="71">
        <v>400</v>
      </c>
      <c r="C144" s="71"/>
      <c r="D144" s="71">
        <v>400</v>
      </c>
    </row>
    <row r="145" spans="1:4" ht="15" thickBot="1" x14ac:dyDescent="0.4">
      <c r="A145" s="53" t="s">
        <v>54</v>
      </c>
      <c r="B145" s="71">
        <v>200</v>
      </c>
      <c r="C145" s="71"/>
      <c r="D145" s="71">
        <v>200</v>
      </c>
    </row>
    <row r="146" spans="1:4" ht="15" thickBot="1" x14ac:dyDescent="0.4">
      <c r="A146" s="76" t="s">
        <v>270</v>
      </c>
      <c r="B146" s="71">
        <v>200</v>
      </c>
      <c r="C146" s="71"/>
      <c r="D146" s="71">
        <v>200</v>
      </c>
    </row>
    <row r="147" spans="1:4" ht="15" thickBot="1" x14ac:dyDescent="0.4">
      <c r="A147" s="53" t="s">
        <v>57</v>
      </c>
      <c r="B147" s="71">
        <v>200</v>
      </c>
      <c r="C147" s="71"/>
      <c r="D147" s="71">
        <v>200</v>
      </c>
    </row>
    <row r="148" spans="1:4" ht="15" thickBot="1" x14ac:dyDescent="0.4">
      <c r="A148" s="76" t="s">
        <v>270</v>
      </c>
      <c r="B148" s="71">
        <v>200</v>
      </c>
      <c r="C148" s="71"/>
      <c r="D148" s="71">
        <v>200</v>
      </c>
    </row>
    <row r="149" spans="1:4" ht="15" thickBot="1" x14ac:dyDescent="0.4">
      <c r="A149" s="53" t="s">
        <v>64</v>
      </c>
      <c r="B149" s="71">
        <v>3000</v>
      </c>
      <c r="C149" s="71"/>
      <c r="D149" s="71">
        <v>3000</v>
      </c>
    </row>
    <row r="150" spans="1:4" ht="15" thickBot="1" x14ac:dyDescent="0.4">
      <c r="A150" s="76" t="s">
        <v>257</v>
      </c>
      <c r="B150" s="71">
        <v>3000</v>
      </c>
      <c r="C150" s="71"/>
      <c r="D150" s="71">
        <v>3000</v>
      </c>
    </row>
    <row r="151" spans="1:4" ht="15" thickBot="1" x14ac:dyDescent="0.4">
      <c r="A151" s="53" t="s">
        <v>65</v>
      </c>
      <c r="B151" s="71">
        <v>5000</v>
      </c>
      <c r="C151" s="71"/>
      <c r="D151" s="71">
        <v>5000</v>
      </c>
    </row>
    <row r="152" spans="1:4" ht="15" thickBot="1" x14ac:dyDescent="0.4">
      <c r="A152" s="76" t="s">
        <v>257</v>
      </c>
      <c r="B152" s="71">
        <v>3000</v>
      </c>
      <c r="C152" s="71"/>
      <c r="D152" s="71">
        <v>3000</v>
      </c>
    </row>
    <row r="153" spans="1:4" ht="15" thickBot="1" x14ac:dyDescent="0.4">
      <c r="A153" s="76" t="s">
        <v>271</v>
      </c>
      <c r="B153" s="71">
        <v>2000</v>
      </c>
      <c r="C153" s="71"/>
      <c r="D153" s="71">
        <v>2000</v>
      </c>
    </row>
    <row r="154" spans="1:4" ht="15" thickBot="1" x14ac:dyDescent="0.4">
      <c r="A154" s="53" t="s">
        <v>71</v>
      </c>
      <c r="B154" s="71">
        <v>500</v>
      </c>
      <c r="C154" s="71"/>
      <c r="D154" s="71">
        <v>500</v>
      </c>
    </row>
    <row r="155" spans="1:4" ht="15" thickBot="1" x14ac:dyDescent="0.4">
      <c r="A155" s="76" t="s">
        <v>257</v>
      </c>
      <c r="B155" s="71">
        <v>300</v>
      </c>
      <c r="C155" s="71"/>
      <c r="D155" s="71">
        <v>300</v>
      </c>
    </row>
    <row r="156" spans="1:4" ht="15" thickBot="1" x14ac:dyDescent="0.4">
      <c r="A156" s="76" t="s">
        <v>271</v>
      </c>
      <c r="B156" s="71">
        <v>200</v>
      </c>
      <c r="C156" s="71"/>
      <c r="D156" s="71">
        <v>200</v>
      </c>
    </row>
    <row r="157" spans="1:4" ht="15" thickBot="1" x14ac:dyDescent="0.4">
      <c r="A157" s="73">
        <v>45856</v>
      </c>
      <c r="B157" s="71">
        <v>4000</v>
      </c>
      <c r="C157" s="71"/>
      <c r="D157" s="71">
        <v>4000</v>
      </c>
    </row>
    <row r="158" spans="1:4" ht="15" thickBot="1" x14ac:dyDescent="0.4">
      <c r="A158" s="85" t="s">
        <v>14</v>
      </c>
      <c r="B158" s="71">
        <v>4000</v>
      </c>
      <c r="C158" s="71"/>
      <c r="D158" s="71">
        <v>4000</v>
      </c>
    </row>
    <row r="159" spans="1:4" ht="15" thickBot="1" x14ac:dyDescent="0.4">
      <c r="A159" s="53" t="s">
        <v>49</v>
      </c>
      <c r="B159" s="71">
        <v>300</v>
      </c>
      <c r="C159" s="71"/>
      <c r="D159" s="71">
        <v>300</v>
      </c>
    </row>
    <row r="160" spans="1:4" ht="15" thickBot="1" x14ac:dyDescent="0.4">
      <c r="A160" s="76" t="s">
        <v>272</v>
      </c>
      <c r="B160" s="71">
        <v>300</v>
      </c>
      <c r="C160" s="71"/>
      <c r="D160" s="71">
        <v>300</v>
      </c>
    </row>
    <row r="161" spans="1:4" ht="15" thickBot="1" x14ac:dyDescent="0.4">
      <c r="A161" s="53" t="s">
        <v>65</v>
      </c>
      <c r="B161" s="71">
        <v>3000</v>
      </c>
      <c r="C161" s="71"/>
      <c r="D161" s="71">
        <v>3000</v>
      </c>
    </row>
    <row r="162" spans="1:4" ht="15" thickBot="1" x14ac:dyDescent="0.4">
      <c r="A162" s="76" t="s">
        <v>256</v>
      </c>
      <c r="B162" s="71">
        <v>3000</v>
      </c>
      <c r="C162" s="71"/>
      <c r="D162" s="71">
        <v>3000</v>
      </c>
    </row>
    <row r="163" spans="1:4" ht="15" thickBot="1" x14ac:dyDescent="0.4">
      <c r="A163" s="53" t="s">
        <v>215</v>
      </c>
      <c r="B163" s="71">
        <v>300</v>
      </c>
      <c r="C163" s="71"/>
      <c r="D163" s="71">
        <v>300</v>
      </c>
    </row>
    <row r="164" spans="1:4" ht="15" thickBot="1" x14ac:dyDescent="0.4">
      <c r="A164" s="76" t="s">
        <v>272</v>
      </c>
      <c r="B164" s="71">
        <v>300</v>
      </c>
      <c r="C164" s="71"/>
      <c r="D164" s="71">
        <v>300</v>
      </c>
    </row>
    <row r="165" spans="1:4" ht="15" thickBot="1" x14ac:dyDescent="0.4">
      <c r="A165" s="53" t="s">
        <v>71</v>
      </c>
      <c r="B165" s="71">
        <v>200</v>
      </c>
      <c r="C165" s="71"/>
      <c r="D165" s="71">
        <v>200</v>
      </c>
    </row>
    <row r="166" spans="1:4" ht="15" thickBot="1" x14ac:dyDescent="0.4">
      <c r="A166" s="76" t="s">
        <v>272</v>
      </c>
      <c r="B166" s="71">
        <v>200</v>
      </c>
      <c r="C166" s="71"/>
      <c r="D166" s="71">
        <v>200</v>
      </c>
    </row>
    <row r="167" spans="1:4" ht="15" thickBot="1" x14ac:dyDescent="0.4">
      <c r="A167" s="53" t="s">
        <v>203</v>
      </c>
      <c r="B167" s="71">
        <v>200</v>
      </c>
      <c r="C167" s="71"/>
      <c r="D167" s="71">
        <v>200</v>
      </c>
    </row>
    <row r="168" spans="1:4" ht="15" thickBot="1" x14ac:dyDescent="0.4">
      <c r="A168" s="76" t="s">
        <v>272</v>
      </c>
      <c r="B168" s="71">
        <v>200</v>
      </c>
      <c r="C168" s="71"/>
      <c r="D168" s="71">
        <v>200</v>
      </c>
    </row>
    <row r="169" spans="1:4" ht="15" thickBot="1" x14ac:dyDescent="0.4">
      <c r="A169" s="73">
        <v>45859</v>
      </c>
      <c r="B169" s="71">
        <v>5000</v>
      </c>
      <c r="C169" s="71"/>
      <c r="D169" s="71">
        <v>5000</v>
      </c>
    </row>
    <row r="170" spans="1:4" ht="15" thickBot="1" x14ac:dyDescent="0.4">
      <c r="A170" s="85" t="s">
        <v>14</v>
      </c>
      <c r="B170" s="71">
        <v>5000</v>
      </c>
      <c r="C170" s="71"/>
      <c r="D170" s="71">
        <v>5000</v>
      </c>
    </row>
    <row r="171" spans="1:4" ht="15" thickBot="1" x14ac:dyDescent="0.4">
      <c r="A171" s="53" t="s">
        <v>49</v>
      </c>
      <c r="B171" s="71">
        <v>1100</v>
      </c>
      <c r="C171" s="71"/>
      <c r="D171" s="71">
        <v>1100</v>
      </c>
    </row>
    <row r="172" spans="1:4" ht="15" thickBot="1" x14ac:dyDescent="0.4">
      <c r="A172" s="76" t="s">
        <v>273</v>
      </c>
      <c r="B172" s="71">
        <v>500</v>
      </c>
      <c r="C172" s="71"/>
      <c r="D172" s="71">
        <v>500</v>
      </c>
    </row>
    <row r="173" spans="1:4" ht="15" thickBot="1" x14ac:dyDescent="0.4">
      <c r="A173" s="76" t="s">
        <v>253</v>
      </c>
      <c r="B173" s="71">
        <v>300</v>
      </c>
      <c r="C173" s="71"/>
      <c r="D173" s="71">
        <v>300</v>
      </c>
    </row>
    <row r="174" spans="1:4" ht="15" thickBot="1" x14ac:dyDescent="0.4">
      <c r="A174" s="76" t="s">
        <v>274</v>
      </c>
      <c r="B174" s="71">
        <v>300</v>
      </c>
      <c r="C174" s="71"/>
      <c r="D174" s="71">
        <v>300</v>
      </c>
    </row>
    <row r="175" spans="1:4" ht="15" thickBot="1" x14ac:dyDescent="0.4">
      <c r="A175" s="53" t="s">
        <v>64</v>
      </c>
      <c r="B175" s="71">
        <v>2000</v>
      </c>
      <c r="C175" s="71"/>
      <c r="D175" s="71">
        <v>2000</v>
      </c>
    </row>
    <row r="176" spans="1:4" ht="15" thickBot="1" x14ac:dyDescent="0.4">
      <c r="A176" s="76" t="s">
        <v>274</v>
      </c>
      <c r="B176" s="71">
        <v>2000</v>
      </c>
      <c r="C176" s="71"/>
      <c r="D176" s="71">
        <v>2000</v>
      </c>
    </row>
    <row r="177" spans="1:4" ht="15" thickBot="1" x14ac:dyDescent="0.4">
      <c r="A177" s="53" t="s">
        <v>65</v>
      </c>
      <c r="B177" s="71">
        <v>1000</v>
      </c>
      <c r="C177" s="71"/>
      <c r="D177" s="71">
        <v>1000</v>
      </c>
    </row>
    <row r="178" spans="1:4" ht="15" thickBot="1" x14ac:dyDescent="0.4">
      <c r="A178" s="76" t="s">
        <v>274</v>
      </c>
      <c r="B178" s="71">
        <v>1000</v>
      </c>
      <c r="C178" s="71"/>
      <c r="D178" s="71">
        <v>1000</v>
      </c>
    </row>
    <row r="179" spans="1:4" ht="15" thickBot="1" x14ac:dyDescent="0.4">
      <c r="A179" s="53" t="s">
        <v>215</v>
      </c>
      <c r="B179" s="71">
        <v>500</v>
      </c>
      <c r="C179" s="71"/>
      <c r="D179" s="71">
        <v>500</v>
      </c>
    </row>
    <row r="180" spans="1:4" ht="15" thickBot="1" x14ac:dyDescent="0.4">
      <c r="A180" s="76" t="s">
        <v>274</v>
      </c>
      <c r="B180" s="71">
        <v>500</v>
      </c>
      <c r="C180" s="71"/>
      <c r="D180" s="71">
        <v>500</v>
      </c>
    </row>
    <row r="181" spans="1:4" ht="15" thickBot="1" x14ac:dyDescent="0.4">
      <c r="A181" s="53" t="s">
        <v>71</v>
      </c>
      <c r="B181" s="71">
        <v>300</v>
      </c>
      <c r="C181" s="71"/>
      <c r="D181" s="71">
        <v>300</v>
      </c>
    </row>
    <row r="182" spans="1:4" ht="15" thickBot="1" x14ac:dyDescent="0.4">
      <c r="A182" s="76" t="s">
        <v>253</v>
      </c>
      <c r="B182" s="71">
        <v>300</v>
      </c>
      <c r="C182" s="71"/>
      <c r="D182" s="71">
        <v>300</v>
      </c>
    </row>
    <row r="183" spans="1:4" ht="15" thickBot="1" x14ac:dyDescent="0.4">
      <c r="A183" s="53" t="s">
        <v>203</v>
      </c>
      <c r="B183" s="71">
        <v>100</v>
      </c>
      <c r="C183" s="71"/>
      <c r="D183" s="71">
        <v>100</v>
      </c>
    </row>
    <row r="184" spans="1:4" ht="15" thickBot="1" x14ac:dyDescent="0.4">
      <c r="A184" s="76" t="s">
        <v>274</v>
      </c>
      <c r="B184" s="71">
        <v>100</v>
      </c>
      <c r="C184" s="71"/>
      <c r="D184" s="71">
        <v>100</v>
      </c>
    </row>
    <row r="185" spans="1:4" ht="15" thickBot="1" x14ac:dyDescent="0.4">
      <c r="A185" s="73">
        <v>45860</v>
      </c>
      <c r="B185" s="71">
        <v>22570</v>
      </c>
      <c r="C185" s="71"/>
      <c r="D185" s="71">
        <v>22570</v>
      </c>
    </row>
    <row r="186" spans="1:4" ht="15" thickBot="1" x14ac:dyDescent="0.4">
      <c r="A186" s="85" t="s">
        <v>14</v>
      </c>
      <c r="B186" s="71">
        <v>22570</v>
      </c>
      <c r="C186" s="71"/>
      <c r="D186" s="71">
        <v>22570</v>
      </c>
    </row>
    <row r="187" spans="1:4" ht="15" thickBot="1" x14ac:dyDescent="0.4">
      <c r="A187" s="53" t="s">
        <v>48</v>
      </c>
      <c r="B187" s="71">
        <v>500</v>
      </c>
      <c r="C187" s="71"/>
      <c r="D187" s="71">
        <v>500</v>
      </c>
    </row>
    <row r="188" spans="1:4" ht="15" thickBot="1" x14ac:dyDescent="0.4">
      <c r="A188" s="76" t="s">
        <v>275</v>
      </c>
      <c r="B188" s="71">
        <v>500</v>
      </c>
      <c r="C188" s="71"/>
      <c r="D188" s="71">
        <v>500</v>
      </c>
    </row>
    <row r="189" spans="1:4" ht="15" thickBot="1" x14ac:dyDescent="0.4">
      <c r="A189" s="53" t="s">
        <v>49</v>
      </c>
      <c r="B189" s="71">
        <v>1900</v>
      </c>
      <c r="C189" s="71"/>
      <c r="D189" s="71">
        <v>1900</v>
      </c>
    </row>
    <row r="190" spans="1:4" ht="15" thickBot="1" x14ac:dyDescent="0.4">
      <c r="A190" s="76" t="s">
        <v>276</v>
      </c>
      <c r="B190" s="71">
        <v>500</v>
      </c>
      <c r="C190" s="71"/>
      <c r="D190" s="71">
        <v>500</v>
      </c>
    </row>
    <row r="191" spans="1:4" ht="15" thickBot="1" x14ac:dyDescent="0.4">
      <c r="A191" s="76" t="s">
        <v>279</v>
      </c>
      <c r="B191" s="71">
        <v>500</v>
      </c>
      <c r="C191" s="71"/>
      <c r="D191" s="71">
        <v>500</v>
      </c>
    </row>
    <row r="192" spans="1:4" ht="15" thickBot="1" x14ac:dyDescent="0.4">
      <c r="A192" s="76" t="s">
        <v>278</v>
      </c>
      <c r="B192" s="71">
        <v>500</v>
      </c>
      <c r="C192" s="71"/>
      <c r="D192" s="71">
        <v>500</v>
      </c>
    </row>
    <row r="193" spans="1:4" ht="15" thickBot="1" x14ac:dyDescent="0.4">
      <c r="A193" s="76" t="s">
        <v>275</v>
      </c>
      <c r="B193" s="71">
        <v>400</v>
      </c>
      <c r="C193" s="71"/>
      <c r="D193" s="71">
        <v>400</v>
      </c>
    </row>
    <row r="194" spans="1:4" ht="15" thickBot="1" x14ac:dyDescent="0.4">
      <c r="A194" s="53" t="s">
        <v>57</v>
      </c>
      <c r="B194" s="71">
        <v>50</v>
      </c>
      <c r="C194" s="71"/>
      <c r="D194" s="71">
        <v>50</v>
      </c>
    </row>
    <row r="195" spans="1:4" ht="15" thickBot="1" x14ac:dyDescent="0.4">
      <c r="A195" s="76" t="s">
        <v>277</v>
      </c>
      <c r="B195" s="71">
        <v>50</v>
      </c>
      <c r="C195" s="71"/>
      <c r="D195" s="71">
        <v>50</v>
      </c>
    </row>
    <row r="196" spans="1:4" ht="15" thickBot="1" x14ac:dyDescent="0.4">
      <c r="A196" s="53" t="s">
        <v>64</v>
      </c>
      <c r="B196" s="71">
        <v>5000</v>
      </c>
      <c r="C196" s="71"/>
      <c r="D196" s="71">
        <v>5000</v>
      </c>
    </row>
    <row r="197" spans="1:4" ht="15" thickBot="1" x14ac:dyDescent="0.4">
      <c r="A197" s="76" t="s">
        <v>276</v>
      </c>
      <c r="B197" s="71">
        <v>3000</v>
      </c>
      <c r="C197" s="71"/>
      <c r="D197" s="71">
        <v>3000</v>
      </c>
    </row>
    <row r="198" spans="1:4" ht="15" thickBot="1" x14ac:dyDescent="0.4">
      <c r="A198" s="76" t="s">
        <v>279</v>
      </c>
      <c r="B198" s="71">
        <v>2000</v>
      </c>
      <c r="C198" s="71"/>
      <c r="D198" s="71">
        <v>2000</v>
      </c>
    </row>
    <row r="199" spans="1:4" ht="15" thickBot="1" x14ac:dyDescent="0.4">
      <c r="A199" s="53" t="s">
        <v>65</v>
      </c>
      <c r="B199" s="71">
        <v>13000</v>
      </c>
      <c r="C199" s="71"/>
      <c r="D199" s="71">
        <v>13000</v>
      </c>
    </row>
    <row r="200" spans="1:4" ht="15" thickBot="1" x14ac:dyDescent="0.4">
      <c r="A200" s="76" t="s">
        <v>276</v>
      </c>
      <c r="B200" s="71">
        <v>3000</v>
      </c>
      <c r="C200" s="71"/>
      <c r="D200" s="71">
        <v>3000</v>
      </c>
    </row>
    <row r="201" spans="1:4" ht="15" thickBot="1" x14ac:dyDescent="0.4">
      <c r="A201" s="76" t="s">
        <v>279</v>
      </c>
      <c r="B201" s="71">
        <v>4000</v>
      </c>
      <c r="C201" s="71"/>
      <c r="D201" s="71">
        <v>4000</v>
      </c>
    </row>
    <row r="202" spans="1:4" ht="15" thickBot="1" x14ac:dyDescent="0.4">
      <c r="A202" s="76" t="s">
        <v>278</v>
      </c>
      <c r="B202" s="71">
        <v>6000</v>
      </c>
      <c r="C202" s="71"/>
      <c r="D202" s="71">
        <v>6000</v>
      </c>
    </row>
    <row r="203" spans="1:4" ht="15" thickBot="1" x14ac:dyDescent="0.4">
      <c r="A203" s="53" t="s">
        <v>215</v>
      </c>
      <c r="B203" s="71">
        <v>1500</v>
      </c>
      <c r="C203" s="71"/>
      <c r="D203" s="71">
        <v>1500</v>
      </c>
    </row>
    <row r="204" spans="1:4" ht="15" thickBot="1" x14ac:dyDescent="0.4">
      <c r="A204" s="76" t="s">
        <v>279</v>
      </c>
      <c r="B204" s="71">
        <v>500</v>
      </c>
      <c r="C204" s="71"/>
      <c r="D204" s="71">
        <v>500</v>
      </c>
    </row>
    <row r="205" spans="1:4" ht="15" thickBot="1" x14ac:dyDescent="0.4">
      <c r="A205" s="76" t="s">
        <v>278</v>
      </c>
      <c r="B205" s="71">
        <v>500</v>
      </c>
      <c r="C205" s="71"/>
      <c r="D205" s="71">
        <v>500</v>
      </c>
    </row>
    <row r="206" spans="1:4" ht="15" thickBot="1" x14ac:dyDescent="0.4">
      <c r="A206" s="76" t="s">
        <v>275</v>
      </c>
      <c r="B206" s="71">
        <v>500</v>
      </c>
      <c r="C206" s="71"/>
      <c r="D206" s="71">
        <v>500</v>
      </c>
    </row>
    <row r="207" spans="1:4" ht="15" thickBot="1" x14ac:dyDescent="0.4">
      <c r="A207" s="53" t="s">
        <v>71</v>
      </c>
      <c r="B207" s="71">
        <v>600</v>
      </c>
      <c r="C207" s="71"/>
      <c r="D207" s="71">
        <v>600</v>
      </c>
    </row>
    <row r="208" spans="1:4" ht="15" thickBot="1" x14ac:dyDescent="0.4">
      <c r="A208" s="76" t="s">
        <v>278</v>
      </c>
      <c r="B208" s="71">
        <v>300</v>
      </c>
      <c r="C208" s="71"/>
      <c r="D208" s="71">
        <v>300</v>
      </c>
    </row>
    <row r="209" spans="1:4" ht="15" thickBot="1" x14ac:dyDescent="0.4">
      <c r="A209" s="76" t="s">
        <v>275</v>
      </c>
      <c r="B209" s="71">
        <v>300</v>
      </c>
      <c r="C209" s="71"/>
      <c r="D209" s="71">
        <v>300</v>
      </c>
    </row>
    <row r="210" spans="1:4" ht="15" thickBot="1" x14ac:dyDescent="0.4">
      <c r="A210" s="53" t="s">
        <v>58</v>
      </c>
      <c r="B210" s="71">
        <v>20</v>
      </c>
      <c r="C210" s="71"/>
      <c r="D210" s="71">
        <v>20</v>
      </c>
    </row>
    <row r="211" spans="1:4" ht="15" thickBot="1" x14ac:dyDescent="0.4">
      <c r="A211" s="76" t="s">
        <v>278</v>
      </c>
      <c r="B211" s="71">
        <v>20</v>
      </c>
      <c r="C211" s="71"/>
      <c r="D211" s="71">
        <v>20</v>
      </c>
    </row>
    <row r="212" spans="1:4" ht="15" thickBot="1" x14ac:dyDescent="0.4">
      <c r="A212" s="73">
        <v>45861</v>
      </c>
      <c r="B212" s="71">
        <v>3400</v>
      </c>
      <c r="C212" s="71"/>
      <c r="D212" s="71">
        <v>3400</v>
      </c>
    </row>
    <row r="213" spans="1:4" ht="15" thickBot="1" x14ac:dyDescent="0.4">
      <c r="A213" s="85" t="s">
        <v>14</v>
      </c>
      <c r="B213" s="71">
        <v>3400</v>
      </c>
      <c r="C213" s="71"/>
      <c r="D213" s="71">
        <v>3400</v>
      </c>
    </row>
    <row r="214" spans="1:4" ht="15" thickBot="1" x14ac:dyDescent="0.4">
      <c r="A214" s="53" t="s">
        <v>54</v>
      </c>
      <c r="B214" s="71">
        <v>300</v>
      </c>
      <c r="C214" s="71"/>
      <c r="D214" s="71">
        <v>300</v>
      </c>
    </row>
    <row r="215" spans="1:4" ht="15" thickBot="1" x14ac:dyDescent="0.4">
      <c r="A215" s="76" t="s">
        <v>281</v>
      </c>
      <c r="B215" s="71">
        <v>100</v>
      </c>
      <c r="C215" s="71"/>
      <c r="D215" s="71">
        <v>100</v>
      </c>
    </row>
    <row r="216" spans="1:4" ht="15" thickBot="1" x14ac:dyDescent="0.4">
      <c r="A216" s="76" t="s">
        <v>282</v>
      </c>
      <c r="B216" s="71">
        <v>200</v>
      </c>
      <c r="C216" s="71"/>
      <c r="D216" s="71">
        <v>200</v>
      </c>
    </row>
    <row r="217" spans="1:4" ht="15" thickBot="1" x14ac:dyDescent="0.4">
      <c r="A217" s="53" t="s">
        <v>57</v>
      </c>
      <c r="B217" s="71">
        <v>100</v>
      </c>
      <c r="C217" s="71"/>
      <c r="D217" s="71">
        <v>100</v>
      </c>
    </row>
    <row r="218" spans="1:4" ht="15" thickBot="1" x14ac:dyDescent="0.4">
      <c r="A218" s="76" t="s">
        <v>281</v>
      </c>
      <c r="B218" s="71">
        <v>100</v>
      </c>
      <c r="C218" s="71"/>
      <c r="D218" s="71">
        <v>100</v>
      </c>
    </row>
    <row r="219" spans="1:4" ht="15" thickBot="1" x14ac:dyDescent="0.4">
      <c r="A219" s="53" t="s">
        <v>64</v>
      </c>
      <c r="B219" s="71">
        <v>2000</v>
      </c>
      <c r="C219" s="71"/>
      <c r="D219" s="71">
        <v>2000</v>
      </c>
    </row>
    <row r="220" spans="1:4" ht="15" thickBot="1" x14ac:dyDescent="0.4">
      <c r="A220" s="76" t="s">
        <v>278</v>
      </c>
      <c r="B220" s="71">
        <v>2000</v>
      </c>
      <c r="C220" s="71"/>
      <c r="D220" s="71">
        <v>2000</v>
      </c>
    </row>
    <row r="221" spans="1:4" ht="15" thickBot="1" x14ac:dyDescent="0.4">
      <c r="A221" s="53" t="s">
        <v>65</v>
      </c>
      <c r="B221" s="71">
        <v>1000</v>
      </c>
      <c r="C221" s="71"/>
      <c r="D221" s="71">
        <v>1000</v>
      </c>
    </row>
    <row r="222" spans="1:4" ht="15" thickBot="1" x14ac:dyDescent="0.4">
      <c r="A222" s="76" t="s">
        <v>280</v>
      </c>
      <c r="B222" s="71">
        <v>1000</v>
      </c>
      <c r="C222" s="71"/>
      <c r="D222" s="71">
        <v>1000</v>
      </c>
    </row>
    <row r="223" spans="1:4" ht="15" thickBot="1" x14ac:dyDescent="0.4">
      <c r="A223" s="73">
        <v>45862</v>
      </c>
      <c r="B223" s="71"/>
      <c r="C223" s="71">
        <v>3500</v>
      </c>
      <c r="D223" s="71">
        <v>3500</v>
      </c>
    </row>
    <row r="224" spans="1:4" ht="15" thickBot="1" x14ac:dyDescent="0.4">
      <c r="A224" s="85" t="s">
        <v>14</v>
      </c>
      <c r="B224" s="71"/>
      <c r="C224" s="71">
        <v>3500</v>
      </c>
      <c r="D224" s="71">
        <v>3500</v>
      </c>
    </row>
    <row r="225" spans="1:4" ht="15" thickBot="1" x14ac:dyDescent="0.4">
      <c r="A225" s="53" t="s">
        <v>64</v>
      </c>
      <c r="B225" s="71"/>
      <c r="C225" s="71">
        <v>2000</v>
      </c>
      <c r="D225" s="71">
        <v>2000</v>
      </c>
    </row>
    <row r="226" spans="1:4" ht="15" thickBot="1" x14ac:dyDescent="0.4">
      <c r="A226" s="76" t="s">
        <v>273</v>
      </c>
      <c r="B226" s="71"/>
      <c r="C226" s="71">
        <v>2000</v>
      </c>
      <c r="D226" s="71">
        <v>2000</v>
      </c>
    </row>
    <row r="227" spans="1:4" ht="15" thickBot="1" x14ac:dyDescent="0.4">
      <c r="A227" s="53" t="s">
        <v>65</v>
      </c>
      <c r="B227" s="71"/>
      <c r="C227" s="71">
        <v>1000</v>
      </c>
      <c r="D227" s="71">
        <v>1000</v>
      </c>
    </row>
    <row r="228" spans="1:4" ht="15" thickBot="1" x14ac:dyDescent="0.4">
      <c r="A228" s="76" t="s">
        <v>273</v>
      </c>
      <c r="B228" s="71"/>
      <c r="C228" s="71">
        <v>1000</v>
      </c>
      <c r="D228" s="71">
        <v>1000</v>
      </c>
    </row>
    <row r="229" spans="1:4" ht="15" thickBot="1" x14ac:dyDescent="0.4">
      <c r="A229" s="53" t="s">
        <v>215</v>
      </c>
      <c r="B229" s="71"/>
      <c r="C229" s="71">
        <v>500</v>
      </c>
      <c r="D229" s="71">
        <v>500</v>
      </c>
    </row>
    <row r="230" spans="1:4" ht="15" thickBot="1" x14ac:dyDescent="0.4">
      <c r="A230" s="76" t="s">
        <v>273</v>
      </c>
      <c r="B230" s="71"/>
      <c r="C230" s="71">
        <v>500</v>
      </c>
      <c r="D230" s="71">
        <v>500</v>
      </c>
    </row>
    <row r="231" spans="1:4" ht="15" thickBot="1" x14ac:dyDescent="0.4">
      <c r="A231" s="75" t="s">
        <v>178</v>
      </c>
      <c r="B231" s="71">
        <v>102770</v>
      </c>
      <c r="C231" s="71">
        <v>3500</v>
      </c>
      <c r="D231" s="71">
        <v>106270</v>
      </c>
    </row>
    <row r="233" spans="1:4" ht="15" thickBot="1" x14ac:dyDescent="0.4"/>
    <row r="234" spans="1:4" ht="15" thickBot="1" x14ac:dyDescent="0.4"/>
    <row r="235" spans="1:4" ht="15" thickBot="1" x14ac:dyDescent="0.4"/>
    <row r="236" spans="1:4" ht="15" thickBot="1" x14ac:dyDescent="0.4"/>
    <row r="237" spans="1:4" ht="15" thickBot="1" x14ac:dyDescent="0.4"/>
    <row r="238" spans="1:4" ht="15" thickBot="1" x14ac:dyDescent="0.4"/>
    <row r="239" spans="1:4" ht="15" thickBot="1" x14ac:dyDescent="0.4"/>
    <row r="240" spans="1:4" ht="15" thickBot="1" x14ac:dyDescent="0.4"/>
    <row r="241" ht="15" thickBot="1" x14ac:dyDescent="0.4"/>
    <row r="242" ht="15" thickBot="1" x14ac:dyDescent="0.4"/>
    <row r="243" ht="15" thickBot="1" x14ac:dyDescent="0.4"/>
    <row r="244" ht="15" thickBot="1" x14ac:dyDescent="0.4"/>
    <row r="245" ht="15" thickBot="1" x14ac:dyDescent="0.4"/>
  </sheetData>
  <mergeCells count="2">
    <mergeCell ref="A1:D1"/>
    <mergeCell ref="A2:D2"/>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4"/>
  </sheetPr>
  <dimension ref="A1:N11"/>
  <sheetViews>
    <sheetView showGridLines="0" workbookViewId="0">
      <selection activeCell="D3" sqref="D3"/>
    </sheetView>
  </sheetViews>
  <sheetFormatPr defaultRowHeight="14.5" x14ac:dyDescent="0.35"/>
  <cols>
    <col min="1" max="1" width="13.81640625" customWidth="1"/>
    <col min="2" max="2" width="17.81640625" bestFit="1" customWidth="1"/>
    <col min="4" max="4" width="12.81640625" customWidth="1"/>
    <col min="5" max="5" width="37" bestFit="1" customWidth="1"/>
    <col min="6" max="6" width="9.1796875" customWidth="1"/>
    <col min="7" max="7" width="15.7265625" customWidth="1"/>
    <col min="8" max="8" width="15.6328125" bestFit="1" customWidth="1"/>
    <col min="9" max="9" width="19.1796875" bestFit="1" customWidth="1"/>
    <col min="10" max="10" width="18.453125" customWidth="1"/>
    <col min="11" max="11" width="24" bestFit="1" customWidth="1"/>
  </cols>
  <sheetData>
    <row r="1" spans="1:14" ht="18.5" x14ac:dyDescent="0.45">
      <c r="A1" s="150" t="s">
        <v>29</v>
      </c>
      <c r="B1" s="151"/>
      <c r="C1" s="151"/>
      <c r="D1" s="151"/>
      <c r="E1" s="151"/>
      <c r="F1" s="151"/>
      <c r="G1" s="151"/>
      <c r="H1" s="151"/>
      <c r="I1" s="151"/>
    </row>
    <row r="2" spans="1:14" ht="29" x14ac:dyDescent="0.35">
      <c r="A2" s="61" t="s">
        <v>17</v>
      </c>
      <c r="B2" s="60" t="s">
        <v>24</v>
      </c>
      <c r="C2" s="60" t="s">
        <v>18</v>
      </c>
      <c r="D2" s="60" t="s">
        <v>22</v>
      </c>
      <c r="E2" s="60" t="s">
        <v>0</v>
      </c>
      <c r="F2" s="60" t="s">
        <v>1</v>
      </c>
      <c r="G2" s="62" t="s">
        <v>27</v>
      </c>
      <c r="H2" s="63" t="s">
        <v>23</v>
      </c>
      <c r="I2" s="1" t="s">
        <v>28</v>
      </c>
    </row>
    <row r="3" spans="1:14" x14ac:dyDescent="0.35">
      <c r="A3" s="22">
        <v>45928</v>
      </c>
      <c r="B3" s="20">
        <v>4900056778</v>
      </c>
      <c r="C3" s="20" t="s">
        <v>19</v>
      </c>
      <c r="D3" s="20">
        <v>100172</v>
      </c>
      <c r="E3" s="33" t="str">
        <f>IF(D3="","",VLOOKUP(D3,'STOCK CONTROL SHEET'!Details,2,FALSE))</f>
        <v>1 Part Statement Paper</v>
      </c>
      <c r="F3" s="33" t="str">
        <f>IF(D3="","",VLOOKUP(D3,'STOCK CONTROL SHEET'!Details,3,FALSE))</f>
        <v>PCS</v>
      </c>
      <c r="G3" s="21">
        <v>1000</v>
      </c>
      <c r="H3" s="20" t="s">
        <v>288</v>
      </c>
      <c r="I3" s="41">
        <f>IF(ComputerStoreUnitsTable[Type]="Receipt",(SUM(ComputerStoreUnitsTable[[#This Row],[In&amp;Out Qty]])),(SUM(-INOUTQTY)))</f>
        <v>-1000</v>
      </c>
    </row>
    <row r="4" spans="1:14" x14ac:dyDescent="0.35">
      <c r="A4" s="22"/>
      <c r="B4" s="20"/>
      <c r="C4" s="20"/>
      <c r="D4" s="20"/>
      <c r="E4" s="33" t="str">
        <f>IF(D4="","",VLOOKUP(D4,'STOCK CONTROL SHEET'!Details,2,FALSE))</f>
        <v/>
      </c>
      <c r="F4" s="33" t="str">
        <f>IF(D4="","",VLOOKUP(D4,'STOCK CONTROL SHEET'!Details,3,FALSE))</f>
        <v/>
      </c>
      <c r="G4" s="20"/>
      <c r="H4" s="20"/>
      <c r="I4" s="50">
        <f>IF(ComputerStoreUnitsTable[Type]="Receipt",(SUM(ComputerStoreUnitsTable[[#This Row],[In&amp;Out Qty]])),(SUM(-INOUTQTY)))</f>
        <v>0</v>
      </c>
      <c r="M4" t="s">
        <v>19</v>
      </c>
      <c r="N4" t="s">
        <v>16</v>
      </c>
    </row>
    <row r="5" spans="1:14" x14ac:dyDescent="0.35">
      <c r="A5" s="22"/>
      <c r="B5" s="20"/>
      <c r="C5" s="20"/>
      <c r="D5" s="20"/>
      <c r="E5" s="33" t="str">
        <f>IF(D5="","",VLOOKUP(D5,'STOCK CONTROL SHEET'!Details,2,FALSE))</f>
        <v/>
      </c>
      <c r="F5" s="33" t="str">
        <f>IF(D5="","",VLOOKUP(D5,'STOCK CONTROL SHEET'!Details,3,FALSE))</f>
        <v/>
      </c>
      <c r="G5" s="20"/>
      <c r="H5" s="20"/>
      <c r="I5" s="50">
        <f>IF(ComputerStoreUnitsTable[Type]="Receipt",(SUM(ComputerStoreUnitsTable[[#This Row],[In&amp;Out Qty]])),(SUM(-INOUTQTY)))</f>
        <v>0</v>
      </c>
      <c r="M5" t="s">
        <v>20</v>
      </c>
      <c r="N5" t="s">
        <v>11</v>
      </c>
    </row>
    <row r="6" spans="1:14" x14ac:dyDescent="0.35">
      <c r="A6" s="22"/>
      <c r="B6" s="20"/>
      <c r="C6" s="20"/>
      <c r="D6" s="20"/>
      <c r="E6" s="33" t="str">
        <f>IF(D6="","",VLOOKUP(D6,'STOCK CONTROL SHEET'!Details,2,FALSE))</f>
        <v/>
      </c>
      <c r="F6" s="33" t="str">
        <f>IF(D6="","",VLOOKUP(D6,'STOCK CONTROL SHEET'!Details,3,FALSE))</f>
        <v/>
      </c>
      <c r="G6" s="20"/>
      <c r="H6" s="20"/>
      <c r="I6" s="50">
        <f>IF(ComputerStoreUnitsTable[Type]="Receipt",(SUM(ComputerStoreUnitsTable[[#This Row],[In&amp;Out Qty]])),(SUM(-INOUTQTY)))</f>
        <v>0</v>
      </c>
      <c r="M6" t="s">
        <v>21</v>
      </c>
      <c r="N6" t="s">
        <v>12</v>
      </c>
    </row>
    <row r="7" spans="1:14" x14ac:dyDescent="0.35">
      <c r="A7" s="22"/>
      <c r="B7" s="20"/>
      <c r="C7" s="20"/>
      <c r="D7" s="20"/>
      <c r="E7" s="33" t="str">
        <f>IF(D7="","",VLOOKUP(D7,'STOCK CONTROL SHEET'!Details,2,FALSE))</f>
        <v/>
      </c>
      <c r="F7" s="33" t="str">
        <f>IF(D7="","",VLOOKUP(D7,'STOCK CONTROL SHEET'!Details,3,FALSE))</f>
        <v/>
      </c>
      <c r="G7" s="20"/>
      <c r="H7" s="20"/>
      <c r="I7" s="50">
        <f>IF(ComputerStoreUnitsTable[Type]="Receipt",(SUM(ComputerStoreUnitsTable[[#This Row],[In&amp;Out Qty]])),(SUM(-INOUTQTY)))</f>
        <v>0</v>
      </c>
      <c r="N7" t="s">
        <v>14</v>
      </c>
    </row>
    <row r="8" spans="1:14" x14ac:dyDescent="0.35">
      <c r="A8" s="22"/>
      <c r="B8" s="20"/>
      <c r="C8" s="20"/>
      <c r="D8" s="20"/>
      <c r="E8" s="33" t="str">
        <f>IF(D8="","",VLOOKUP(D8,'STOCK CONTROL SHEET'!Details,2,FALSE))</f>
        <v/>
      </c>
      <c r="F8" s="33" t="str">
        <f>IF(D8="","",VLOOKUP(D8,'STOCK CONTROL SHEET'!Details,3,FALSE))</f>
        <v/>
      </c>
      <c r="G8" s="20"/>
      <c r="H8" s="20"/>
      <c r="I8" s="50">
        <f>IF(ComputerStoreUnitsTable[Type]="Receipt",(SUM(ComputerStoreUnitsTable[[#This Row],[In&amp;Out Qty]])),(SUM(-INOUTQTY)))</f>
        <v>0</v>
      </c>
      <c r="N8" t="s">
        <v>13</v>
      </c>
    </row>
    <row r="9" spans="1:14" x14ac:dyDescent="0.35">
      <c r="A9" s="22"/>
      <c r="B9" s="20"/>
      <c r="C9" s="20"/>
      <c r="D9" s="20"/>
      <c r="E9" s="33" t="str">
        <f>IF(D9="","",VLOOKUP(D9,'STOCK CONTROL SHEET'!Details,2,FALSE))</f>
        <v/>
      </c>
      <c r="F9" s="33" t="str">
        <f>IF(D9="","",VLOOKUP(D9,'STOCK CONTROL SHEET'!Details,3,FALSE))</f>
        <v/>
      </c>
      <c r="G9" s="20"/>
      <c r="H9" s="20"/>
      <c r="I9" s="50">
        <f>IF(ComputerStoreUnitsTable[Type]="Receipt",(SUM(ComputerStoreUnitsTable[[#This Row],[In&amp;Out Qty]])),(SUM(-INOUTQTY)))</f>
        <v>0</v>
      </c>
      <c r="N9" t="s">
        <v>10</v>
      </c>
    </row>
    <row r="10" spans="1:14" x14ac:dyDescent="0.35">
      <c r="A10" s="22"/>
      <c r="B10" s="20"/>
      <c r="C10" s="20"/>
      <c r="D10" s="20"/>
      <c r="E10" s="33" t="str">
        <f>IF(D10="","",VLOOKUP(D10,'STOCK CONTROL SHEET'!Details,2,FALSE))</f>
        <v/>
      </c>
      <c r="F10" s="33" t="str">
        <f>IF(D10="","",VLOOKUP(D10,'STOCK CONTROL SHEET'!Details,3,FALSE))</f>
        <v/>
      </c>
      <c r="G10" s="51"/>
      <c r="H10" s="20"/>
      <c r="I10" s="52">
        <f>IF(ComputerStoreUnitsTable[Type]="Receipt",(SUM(ComputerStoreUnitsTable[[#This Row],[In&amp;Out Qty]])),(SUM(-INOUTQTY)))</f>
        <v>0</v>
      </c>
      <c r="N10" t="s">
        <v>15</v>
      </c>
    </row>
    <row r="11" spans="1:14" x14ac:dyDescent="0.35">
      <c r="A11" s="22"/>
      <c r="B11" s="20"/>
      <c r="C11" s="20"/>
      <c r="D11" s="20"/>
      <c r="E11" s="33" t="str">
        <f>IF(D11="","",VLOOKUP(D11,'STOCK CONTROL SHEET'!Details,2,FALSE))</f>
        <v/>
      </c>
      <c r="F11" s="33" t="str">
        <f>IF(D11="","",VLOOKUP(D11,'STOCK CONTROL SHEET'!Details,3,FALSE))</f>
        <v/>
      </c>
      <c r="G11" s="51"/>
      <c r="H11" s="20"/>
      <c r="I11" s="52">
        <f>IF(ComputerStoreUnitsTable[Type]="Receipt",(SUM(ComputerStoreUnitsTable[[#This Row],[In&amp;Out Qty]])),(SUM(-INOUTQTY)))</f>
        <v>0</v>
      </c>
      <c r="N11" t="s">
        <v>25</v>
      </c>
    </row>
  </sheetData>
  <mergeCells count="1">
    <mergeCell ref="A1:I1"/>
  </mergeCells>
  <conditionalFormatting sqref="C1:C1048576">
    <cfRule type="containsText" dxfId="5" priority="1" operator="containsText" text="Loaned">
      <formula>NOT(ISERROR(SEARCH("Loaned",C1)))</formula>
    </cfRule>
    <cfRule type="containsText" dxfId="4" priority="2" operator="containsText" text="Issue">
      <formula>NOT(ISERROR(SEARCH("Issue",C1)))</formula>
    </cfRule>
  </conditionalFormatting>
  <conditionalFormatting sqref="C2:C1048576">
    <cfRule type="containsText" dxfId="3" priority="3" operator="containsText" text="Receipt">
      <formula>NOT(ISERROR(SEARCH("Receipt",C2)))</formula>
    </cfRule>
  </conditionalFormatting>
  <dataValidations count="3">
    <dataValidation type="list" allowBlank="1" showInputMessage="1" showErrorMessage="1" sqref="C3:C11">
      <formula1>TransactionType</formula1>
    </dataValidation>
    <dataValidation type="list" allowBlank="1" showInputMessage="1" showErrorMessage="1" errorTitle="STOP" error="Kindly Input Valid Material Number" sqref="D2">
      <formula1>SFMaterialNo</formula1>
    </dataValidation>
    <dataValidation type="list" allowBlank="1" showInputMessage="1" showErrorMessage="1" errorTitle="STOP" error="Kindly Input Valid Material Number" sqref="D3:D11">
      <formula1>COMPMaterialNo</formula1>
    </dataValidation>
  </dataValidations>
  <pageMargins left="0.7" right="0.7" top="0.75" bottom="0.75" header="0.3" footer="0.3"/>
  <pageSetup paperSize="9" orientation="landscape"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13"/>
  <sheetViews>
    <sheetView workbookViewId="0">
      <selection activeCell="D8" sqref="D8"/>
    </sheetView>
  </sheetViews>
  <sheetFormatPr defaultRowHeight="14.5" x14ac:dyDescent="0.35"/>
  <cols>
    <col min="1" max="1" width="26.6328125" customWidth="1"/>
    <col min="2" max="2" width="15.26953125" customWidth="1"/>
    <col min="3" max="3" width="10.6328125" customWidth="1"/>
    <col min="4" max="4" width="10.6328125" bestFit="1" customWidth="1"/>
  </cols>
  <sheetData>
    <row r="1" spans="1:3" ht="15.5" x14ac:dyDescent="0.35">
      <c r="A1" s="152" t="s">
        <v>285</v>
      </c>
      <c r="B1" s="153"/>
      <c r="C1" s="153"/>
    </row>
    <row r="2" spans="1:3" ht="15" thickBot="1" x14ac:dyDescent="0.4">
      <c r="A2" s="154" t="s">
        <v>284</v>
      </c>
      <c r="B2" s="154"/>
      <c r="C2" s="154"/>
    </row>
    <row r="3" spans="1:3" ht="15" thickBot="1" x14ac:dyDescent="0.4">
      <c r="A3" s="72" t="s">
        <v>180</v>
      </c>
      <c r="B3" s="72" t="s">
        <v>290</v>
      </c>
      <c r="C3" s="9"/>
    </row>
    <row r="4" spans="1:3" ht="15" thickBot="1" x14ac:dyDescent="0.4">
      <c r="A4" s="72" t="s">
        <v>177</v>
      </c>
      <c r="B4" s="9" t="s">
        <v>19</v>
      </c>
      <c r="C4" s="9" t="s">
        <v>178</v>
      </c>
    </row>
    <row r="5" spans="1:3" ht="15" thickBot="1" x14ac:dyDescent="0.4">
      <c r="A5" s="73">
        <v>45928</v>
      </c>
      <c r="B5" s="71">
        <v>1000</v>
      </c>
      <c r="C5" s="71">
        <v>1000</v>
      </c>
    </row>
    <row r="6" spans="1:3" ht="15" thickBot="1" x14ac:dyDescent="0.4">
      <c r="A6" s="74" t="s">
        <v>14</v>
      </c>
      <c r="B6" s="71">
        <v>1000</v>
      </c>
      <c r="C6" s="71">
        <v>1000</v>
      </c>
    </row>
    <row r="7" spans="1:3" ht="15" thickBot="1" x14ac:dyDescent="0.4">
      <c r="A7" s="53" t="s">
        <v>75</v>
      </c>
      <c r="B7" s="71">
        <v>1000</v>
      </c>
      <c r="C7" s="71">
        <v>1000</v>
      </c>
    </row>
    <row r="8" spans="1:3" ht="15" thickBot="1" x14ac:dyDescent="0.4">
      <c r="A8" s="76" t="s">
        <v>288</v>
      </c>
      <c r="B8" s="71">
        <v>1000</v>
      </c>
      <c r="C8" s="71">
        <v>1000</v>
      </c>
    </row>
    <row r="9" spans="1:3" ht="15" thickBot="1" x14ac:dyDescent="0.4">
      <c r="A9" s="75" t="s">
        <v>178</v>
      </c>
      <c r="B9" s="71">
        <v>1000</v>
      </c>
      <c r="C9" s="71">
        <v>1000</v>
      </c>
    </row>
    <row r="11" spans="1:3" ht="15" thickBot="1" x14ac:dyDescent="0.4"/>
    <row r="12" spans="1:3" ht="15" thickBot="1" x14ac:dyDescent="0.4"/>
    <row r="13" spans="1:3" ht="15" thickBot="1" x14ac:dyDescent="0.4"/>
  </sheetData>
  <mergeCells count="2">
    <mergeCell ref="A1:C1"/>
    <mergeCell ref="A2:C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sheetPr>
  <dimension ref="A1:N11"/>
  <sheetViews>
    <sheetView showGridLines="0" topLeftCell="B1" workbookViewId="0">
      <selection activeCell="D3" sqref="D3"/>
    </sheetView>
  </sheetViews>
  <sheetFormatPr defaultRowHeight="14.5" x14ac:dyDescent="0.35"/>
  <cols>
    <col min="1" max="1" width="13.81640625" customWidth="1"/>
    <col min="2" max="2" width="17.81640625" bestFit="1" customWidth="1"/>
    <col min="4" max="4" width="12.81640625" customWidth="1"/>
    <col min="5" max="5" width="37" bestFit="1" customWidth="1"/>
    <col min="6" max="6" width="9.1796875" customWidth="1"/>
    <col min="7" max="7" width="15.7265625" customWidth="1"/>
    <col min="8" max="8" width="15.6328125" bestFit="1" customWidth="1"/>
    <col min="9" max="9" width="19.1796875" bestFit="1" customWidth="1"/>
    <col min="10" max="10" width="18.453125" customWidth="1"/>
    <col min="11" max="11" width="24" bestFit="1" customWidth="1"/>
  </cols>
  <sheetData>
    <row r="1" spans="1:14" ht="18.5" x14ac:dyDescent="0.45">
      <c r="A1" s="150" t="s">
        <v>29</v>
      </c>
      <c r="B1" s="151"/>
      <c r="C1" s="151"/>
      <c r="D1" s="151"/>
      <c r="E1" s="151"/>
      <c r="F1" s="151"/>
      <c r="G1" s="151"/>
      <c r="H1" s="151"/>
      <c r="I1" s="151"/>
    </row>
    <row r="2" spans="1:14" ht="29" x14ac:dyDescent="0.35">
      <c r="A2" s="61" t="s">
        <v>17</v>
      </c>
      <c r="B2" s="60" t="s">
        <v>24</v>
      </c>
      <c r="C2" s="60" t="s">
        <v>18</v>
      </c>
      <c r="D2" s="60" t="s">
        <v>22</v>
      </c>
      <c r="E2" s="60" t="s">
        <v>0</v>
      </c>
      <c r="F2" s="60" t="s">
        <v>1</v>
      </c>
      <c r="G2" s="62" t="s">
        <v>27</v>
      </c>
      <c r="H2" s="63" t="s">
        <v>23</v>
      </c>
      <c r="I2" s="1" t="s">
        <v>28</v>
      </c>
    </row>
    <row r="3" spans="1:14" x14ac:dyDescent="0.35">
      <c r="A3" s="22"/>
      <c r="B3" s="20"/>
      <c r="C3" s="20" t="s">
        <v>19</v>
      </c>
      <c r="D3" s="20">
        <v>105</v>
      </c>
      <c r="E3" s="33" t="str">
        <f>IF(D3="","",VLOOKUP(D3,'STOCK CONTROL SHEET'!Details,2,FALSE))</f>
        <v>Data Cabinet</v>
      </c>
      <c r="F3" s="33" t="str">
        <f>IF(D3="","",VLOOKUP(D3,'STOCK CONTROL SHEET'!Details,3,FALSE))</f>
        <v>NO</v>
      </c>
      <c r="G3" s="21">
        <v>20</v>
      </c>
      <c r="H3" s="20" t="s">
        <v>289</v>
      </c>
      <c r="I3" s="41">
        <f>IF(MAINTENANCEUnitsTable[Type]="Receipt",(SUM(MAINTENANCEUnitsTable[[#This Row],[In&amp;Out Qty]])),(SUM(-INOUTQTY)))</f>
        <v>-20</v>
      </c>
    </row>
    <row r="4" spans="1:14" x14ac:dyDescent="0.35">
      <c r="A4" s="22"/>
      <c r="B4" s="20"/>
      <c r="C4" s="20"/>
      <c r="D4" s="20"/>
      <c r="E4" s="33" t="str">
        <f>IF(D4="","",VLOOKUP(D4,'STOCK CONTROL SHEET'!Details,2,FALSE))</f>
        <v/>
      </c>
      <c r="F4" s="33" t="str">
        <f>IF(D4="","",VLOOKUP(D4,'STOCK CONTROL SHEET'!Details,3,FALSE))</f>
        <v/>
      </c>
      <c r="G4" s="20"/>
      <c r="H4" s="20"/>
      <c r="I4" s="50">
        <f>IF(MAINTENANCEUnitsTable[Type]="Receipt",(SUM(MAINTENANCEUnitsTable[[#This Row],[In&amp;Out Qty]])),(SUM(-INOUTQTY)))</f>
        <v>0</v>
      </c>
      <c r="M4" t="s">
        <v>19</v>
      </c>
      <c r="N4" t="s">
        <v>16</v>
      </c>
    </row>
    <row r="5" spans="1:14" x14ac:dyDescent="0.35">
      <c r="A5" s="22"/>
      <c r="B5" s="20"/>
      <c r="C5" s="20"/>
      <c r="D5" s="20"/>
      <c r="E5" s="33" t="str">
        <f>IF(D5="","",VLOOKUP(D5,'STOCK CONTROL SHEET'!Details,2,FALSE))</f>
        <v/>
      </c>
      <c r="F5" s="33" t="str">
        <f>IF(D5="","",VLOOKUP(D5,'STOCK CONTROL SHEET'!Details,3,FALSE))</f>
        <v/>
      </c>
      <c r="G5" s="20"/>
      <c r="H5" s="20"/>
      <c r="I5" s="50">
        <f>IF(MAINTENANCEUnitsTable[Type]="Receipt",(SUM(MAINTENANCEUnitsTable[[#This Row],[In&amp;Out Qty]])),(SUM(-INOUTQTY)))</f>
        <v>0</v>
      </c>
      <c r="M5" t="s">
        <v>20</v>
      </c>
      <c r="N5" t="s">
        <v>11</v>
      </c>
    </row>
    <row r="6" spans="1:14" x14ac:dyDescent="0.35">
      <c r="A6" s="22"/>
      <c r="B6" s="20"/>
      <c r="C6" s="20"/>
      <c r="D6" s="20"/>
      <c r="E6" s="33" t="str">
        <f>IF(D6="","",VLOOKUP(D6,'STOCK CONTROL SHEET'!Details,2,FALSE))</f>
        <v/>
      </c>
      <c r="F6" s="33" t="str">
        <f>IF(D6="","",VLOOKUP(D6,'STOCK CONTROL SHEET'!Details,3,FALSE))</f>
        <v/>
      </c>
      <c r="G6" s="20"/>
      <c r="H6" s="20"/>
      <c r="I6" s="50">
        <f>IF(MAINTENANCEUnitsTable[Type]="Receipt",(SUM(MAINTENANCEUnitsTable[[#This Row],[In&amp;Out Qty]])),(SUM(-INOUTQTY)))</f>
        <v>0</v>
      </c>
      <c r="M6" t="s">
        <v>21</v>
      </c>
      <c r="N6" t="s">
        <v>12</v>
      </c>
    </row>
    <row r="7" spans="1:14" x14ac:dyDescent="0.35">
      <c r="A7" s="22"/>
      <c r="B7" s="20"/>
      <c r="C7" s="20"/>
      <c r="D7" s="20"/>
      <c r="E7" s="33" t="str">
        <f>IF(D7="","",VLOOKUP(D7,'STOCK CONTROL SHEET'!Details,2,FALSE))</f>
        <v/>
      </c>
      <c r="F7" s="33" t="str">
        <f>IF(D7="","",VLOOKUP(D7,'STOCK CONTROL SHEET'!Details,3,FALSE))</f>
        <v/>
      </c>
      <c r="G7" s="20"/>
      <c r="H7" s="20"/>
      <c r="I7" s="50">
        <f>IF(MAINTENANCEUnitsTable[Type]="Receipt",(SUM(MAINTENANCEUnitsTable[[#This Row],[In&amp;Out Qty]])),(SUM(-INOUTQTY)))</f>
        <v>0</v>
      </c>
      <c r="N7" t="s">
        <v>14</v>
      </c>
    </row>
    <row r="8" spans="1:14" x14ac:dyDescent="0.35">
      <c r="A8" s="22"/>
      <c r="B8" s="20"/>
      <c r="C8" s="20"/>
      <c r="D8" s="20"/>
      <c r="E8" s="33" t="str">
        <f>IF(D8="","",VLOOKUP(D8,'STOCK CONTROL SHEET'!Details,2,FALSE))</f>
        <v/>
      </c>
      <c r="F8" s="33" t="str">
        <f>IF(D8="","",VLOOKUP(D8,'STOCK CONTROL SHEET'!Details,3,FALSE))</f>
        <v/>
      </c>
      <c r="G8" s="20"/>
      <c r="H8" s="20"/>
      <c r="I8" s="50">
        <f>IF(MAINTENANCEUnitsTable[Type]="Receipt",(SUM(MAINTENANCEUnitsTable[[#This Row],[In&amp;Out Qty]])),(SUM(-INOUTQTY)))</f>
        <v>0</v>
      </c>
      <c r="N8" t="s">
        <v>13</v>
      </c>
    </row>
    <row r="9" spans="1:14" x14ac:dyDescent="0.35">
      <c r="A9" s="22"/>
      <c r="B9" s="20"/>
      <c r="C9" s="20"/>
      <c r="D9" s="20"/>
      <c r="E9" s="33" t="str">
        <f>IF(D9="","",VLOOKUP(D9,'STOCK CONTROL SHEET'!Details,2,FALSE))</f>
        <v/>
      </c>
      <c r="F9" s="33" t="str">
        <f>IF(D9="","",VLOOKUP(D9,'STOCK CONTROL SHEET'!Details,3,FALSE))</f>
        <v/>
      </c>
      <c r="G9" s="20"/>
      <c r="H9" s="20"/>
      <c r="I9" s="50">
        <f>IF(MAINTENANCEUnitsTable[Type]="Receipt",(SUM(MAINTENANCEUnitsTable[[#This Row],[In&amp;Out Qty]])),(SUM(-INOUTQTY)))</f>
        <v>0</v>
      </c>
      <c r="N9" t="s">
        <v>10</v>
      </c>
    </row>
    <row r="10" spans="1:14" x14ac:dyDescent="0.35">
      <c r="A10" s="22"/>
      <c r="B10" s="20"/>
      <c r="C10" s="20"/>
      <c r="D10" s="20"/>
      <c r="E10" s="33" t="str">
        <f>IF(D10="","",VLOOKUP(D10,'STOCK CONTROL SHEET'!Details,2,FALSE))</f>
        <v/>
      </c>
      <c r="F10" s="33" t="str">
        <f>IF(D10="","",VLOOKUP(D10,'STOCK CONTROL SHEET'!Details,3,FALSE))</f>
        <v/>
      </c>
      <c r="G10" s="51"/>
      <c r="H10" s="20"/>
      <c r="I10" s="52">
        <f>IF(MAINTENANCEUnitsTable[Type]="Receipt",(SUM(MAINTENANCEUnitsTable[[#This Row],[In&amp;Out Qty]])),(SUM(-INOUTQTY)))</f>
        <v>0</v>
      </c>
      <c r="N10" t="s">
        <v>15</v>
      </c>
    </row>
    <row r="11" spans="1:14" x14ac:dyDescent="0.35">
      <c r="A11" s="22"/>
      <c r="B11" s="20"/>
      <c r="C11" s="20"/>
      <c r="D11" s="20"/>
      <c r="E11" s="33" t="str">
        <f>IF(D11="","",VLOOKUP(D11,'STOCK CONTROL SHEET'!Details,2,FALSE))</f>
        <v/>
      </c>
      <c r="F11" s="33" t="str">
        <f>IF(D11="","",VLOOKUP(D11,'STOCK CONTROL SHEET'!Details,3,FALSE))</f>
        <v/>
      </c>
      <c r="G11" s="51"/>
      <c r="H11" s="20"/>
      <c r="I11" s="52">
        <f>IF(MAINTENANCEUnitsTable[Type]="Receipt",(SUM(MAINTENANCEUnitsTable[[#This Row],[In&amp;Out Qty]])),(SUM(-INOUTQTY)))</f>
        <v>0</v>
      </c>
      <c r="N11" t="s">
        <v>25</v>
      </c>
    </row>
  </sheetData>
  <mergeCells count="1">
    <mergeCell ref="A1:I1"/>
  </mergeCells>
  <conditionalFormatting sqref="C1:C1048576">
    <cfRule type="containsText" dxfId="2" priority="1" operator="containsText" text="Loaned">
      <formula>NOT(ISERROR(SEARCH("Loaned",C1)))</formula>
    </cfRule>
    <cfRule type="containsText" dxfId="1" priority="2" operator="containsText" text="Issue">
      <formula>NOT(ISERROR(SEARCH("Issue",C1)))</formula>
    </cfRule>
  </conditionalFormatting>
  <conditionalFormatting sqref="C2:C1048576">
    <cfRule type="containsText" dxfId="0" priority="3" operator="containsText" text="Receipt">
      <formula>NOT(ISERROR(SEARCH("Receipt",C2)))</formula>
    </cfRule>
  </conditionalFormatting>
  <dataValidations count="3">
    <dataValidation type="list" allowBlank="1" showInputMessage="1" showErrorMessage="1" errorTitle="STOP" error="Kindly Input Valid Material Number" sqref="D2">
      <formula1>SFMaterialNo</formula1>
    </dataValidation>
    <dataValidation type="list" allowBlank="1" showInputMessage="1" showErrorMessage="1" sqref="C3:C11">
      <formula1>TransactionType</formula1>
    </dataValidation>
    <dataValidation type="list" allowBlank="1" showInputMessage="1" showErrorMessage="1" errorTitle="STOP" error="Kindly Input Valid Material Number" sqref="D3:D11">
      <formula1>MAINTMaterialNo</formula1>
    </dataValidation>
  </dataValidations>
  <pageMargins left="0.7" right="0.7" top="0.75" bottom="0.75" header="0.3" footer="0.3"/>
  <pageSetup paperSize="9" orientation="landscape"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theme="9" tint="0.79998168889431442"/>
  </sheetPr>
  <dimension ref="A1:B11"/>
  <sheetViews>
    <sheetView workbookViewId="0">
      <selection activeCell="E31" sqref="E31"/>
    </sheetView>
  </sheetViews>
  <sheetFormatPr defaultRowHeight="14.5" x14ac:dyDescent="0.35"/>
  <cols>
    <col min="1" max="1" width="15.7265625" customWidth="1"/>
    <col min="2" max="2" width="17" customWidth="1"/>
  </cols>
  <sheetData>
    <row r="1" spans="1:2" ht="16" thickBot="1" x14ac:dyDescent="0.4">
      <c r="A1" s="155" t="s">
        <v>285</v>
      </c>
      <c r="B1" s="156"/>
    </row>
    <row r="2" spans="1:2" ht="15" thickBot="1" x14ac:dyDescent="0.4">
      <c r="A2" s="154" t="s">
        <v>286</v>
      </c>
      <c r="B2" s="154"/>
    </row>
    <row r="3" spans="1:2" ht="15" thickBot="1" x14ac:dyDescent="0.4">
      <c r="A3" s="72" t="s">
        <v>177</v>
      </c>
      <c r="B3" s="9" t="s">
        <v>180</v>
      </c>
    </row>
    <row r="4" spans="1:2" ht="15" thickBot="1" x14ac:dyDescent="0.4">
      <c r="A4" s="75" t="s">
        <v>220</v>
      </c>
      <c r="B4" s="71">
        <v>20</v>
      </c>
    </row>
    <row r="5" spans="1:2" ht="15" thickBot="1" x14ac:dyDescent="0.4">
      <c r="A5" s="74" t="s">
        <v>283</v>
      </c>
      <c r="B5" s="71"/>
    </row>
    <row r="6" spans="1:2" ht="15" thickBot="1" x14ac:dyDescent="0.4">
      <c r="A6" s="53" t="s">
        <v>220</v>
      </c>
      <c r="B6" s="71"/>
    </row>
    <row r="7" spans="1:2" ht="15" thickBot="1" x14ac:dyDescent="0.4">
      <c r="A7" s="76" t="s">
        <v>220</v>
      </c>
      <c r="B7" s="71"/>
    </row>
    <row r="8" spans="1:2" ht="15" thickBot="1" x14ac:dyDescent="0.4">
      <c r="A8" s="74" t="s">
        <v>118</v>
      </c>
      <c r="B8" s="71">
        <v>20</v>
      </c>
    </row>
    <row r="9" spans="1:2" ht="15" thickBot="1" x14ac:dyDescent="0.4">
      <c r="A9" s="53" t="s">
        <v>19</v>
      </c>
      <c r="B9" s="71">
        <v>20</v>
      </c>
    </row>
    <row r="10" spans="1:2" ht="15" thickBot="1" x14ac:dyDescent="0.4">
      <c r="A10" s="76" t="s">
        <v>289</v>
      </c>
      <c r="B10" s="71">
        <v>20</v>
      </c>
    </row>
    <row r="11" spans="1:2" ht="15" thickBot="1" x14ac:dyDescent="0.4">
      <c r="A11" s="75" t="s">
        <v>178</v>
      </c>
      <c r="B11" s="71">
        <v>20</v>
      </c>
    </row>
  </sheetData>
  <mergeCells count="2">
    <mergeCell ref="A1:B1"/>
    <mergeCell ref="A2:B2"/>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3">
    <tabColor theme="8" tint="0.59999389629810485"/>
  </sheetPr>
  <dimension ref="A2:D138"/>
  <sheetViews>
    <sheetView showGridLines="0" zoomScaleNormal="100" workbookViewId="0">
      <selection activeCell="A6" sqref="A6"/>
    </sheetView>
  </sheetViews>
  <sheetFormatPr defaultRowHeight="14.5" x14ac:dyDescent="0.35"/>
  <cols>
    <col min="1" max="1" width="30.7265625" customWidth="1"/>
    <col min="2" max="2" width="15.26953125" customWidth="1"/>
    <col min="3" max="3" width="7" customWidth="1"/>
    <col min="4" max="4" width="11.81640625" customWidth="1"/>
    <col min="5" max="5" width="11.36328125" bestFit="1" customWidth="1"/>
    <col min="6" max="6" width="12.6328125" bestFit="1" customWidth="1"/>
    <col min="7" max="7" width="8.1796875" customWidth="1"/>
    <col min="8" max="8" width="10.6328125" bestFit="1" customWidth="1"/>
    <col min="9" max="9" width="11.7265625" bestFit="1" customWidth="1"/>
    <col min="10" max="10" width="10" bestFit="1" customWidth="1"/>
    <col min="11" max="11" width="10.54296875" bestFit="1" customWidth="1"/>
    <col min="12" max="12" width="7.7265625" customWidth="1"/>
    <col min="13" max="13" width="8.36328125" customWidth="1"/>
    <col min="14" max="14" width="9.81640625" bestFit="1" customWidth="1"/>
    <col min="15" max="15" width="8.81640625" bestFit="1" customWidth="1"/>
    <col min="16" max="16" width="9.6328125" bestFit="1" customWidth="1"/>
    <col min="17" max="17" width="10" bestFit="1" customWidth="1"/>
    <col min="18" max="18" width="18.90625" bestFit="1" customWidth="1"/>
    <col min="19" max="19" width="27" bestFit="1" customWidth="1"/>
    <col min="20" max="20" width="11.6328125" bestFit="1" customWidth="1"/>
    <col min="21" max="21" width="18.26953125" bestFit="1" customWidth="1"/>
    <col min="22" max="22" width="21.7265625" bestFit="1" customWidth="1"/>
    <col min="23" max="23" width="23" bestFit="1" customWidth="1"/>
    <col min="24" max="24" width="17.90625" bestFit="1" customWidth="1"/>
    <col min="25" max="25" width="22.90625" bestFit="1" customWidth="1"/>
    <col min="26" max="26" width="15.7265625" bestFit="1" customWidth="1"/>
    <col min="27" max="27" width="9.90625" bestFit="1" customWidth="1"/>
    <col min="28" max="28" width="15.81640625" bestFit="1" customWidth="1"/>
    <col min="29" max="29" width="8" customWidth="1"/>
    <col min="30" max="30" width="5.26953125" customWidth="1"/>
    <col min="31" max="31" width="16.81640625" bestFit="1" customWidth="1"/>
    <col min="32" max="32" width="17.7265625" bestFit="1" customWidth="1"/>
    <col min="33" max="33" width="11.81640625" bestFit="1" customWidth="1"/>
  </cols>
  <sheetData>
    <row r="2" spans="1:4" ht="15" thickBot="1" x14ac:dyDescent="0.4"/>
    <row r="3" spans="1:4" ht="15" thickBot="1" x14ac:dyDescent="0.4"/>
    <row r="4" spans="1:4" ht="15" thickBot="1" x14ac:dyDescent="0.4"/>
    <row r="5" spans="1:4" ht="15" thickBot="1" x14ac:dyDescent="0.4"/>
    <row r="6" spans="1:4" ht="15" thickBot="1" x14ac:dyDescent="0.4">
      <c r="A6" s="72" t="s">
        <v>181</v>
      </c>
      <c r="B6" s="72" t="s">
        <v>290</v>
      </c>
      <c r="C6" s="9"/>
      <c r="D6" s="9"/>
    </row>
    <row r="7" spans="1:4" ht="15" thickBot="1" x14ac:dyDescent="0.4">
      <c r="A7" s="72" t="s">
        <v>0</v>
      </c>
      <c r="B7" s="9" t="s">
        <v>19</v>
      </c>
      <c r="C7" s="9" t="s">
        <v>20</v>
      </c>
      <c r="D7" s="9" t="s">
        <v>178</v>
      </c>
    </row>
    <row r="8" spans="1:4" ht="15" thickBot="1" x14ac:dyDescent="0.4">
      <c r="A8" s="75" t="s">
        <v>65</v>
      </c>
      <c r="B8" s="71">
        <v>2750</v>
      </c>
      <c r="C8" s="71">
        <v>1000</v>
      </c>
      <c r="D8" s="71">
        <v>2647.0588235294117</v>
      </c>
    </row>
    <row r="9" spans="1:4" ht="15" thickBot="1" x14ac:dyDescent="0.4">
      <c r="A9" s="74" t="s">
        <v>257</v>
      </c>
      <c r="B9" s="71">
        <v>3000</v>
      </c>
      <c r="C9" s="71"/>
      <c r="D9" s="71">
        <v>3000</v>
      </c>
    </row>
    <row r="10" spans="1:4" ht="15" thickBot="1" x14ac:dyDescent="0.4">
      <c r="A10" s="74" t="s">
        <v>271</v>
      </c>
      <c r="B10" s="71">
        <v>2000</v>
      </c>
      <c r="C10" s="71"/>
      <c r="D10" s="71">
        <v>2000</v>
      </c>
    </row>
    <row r="11" spans="1:4" ht="15" thickBot="1" x14ac:dyDescent="0.4">
      <c r="A11" s="74" t="s">
        <v>274</v>
      </c>
      <c r="B11" s="71">
        <v>1000</v>
      </c>
      <c r="C11" s="71"/>
      <c r="D11" s="71">
        <v>1000</v>
      </c>
    </row>
    <row r="12" spans="1:4" ht="15" thickBot="1" x14ac:dyDescent="0.4">
      <c r="A12" s="74" t="s">
        <v>279</v>
      </c>
      <c r="B12" s="71">
        <v>4000</v>
      </c>
      <c r="C12" s="71"/>
      <c r="D12" s="71">
        <v>4000</v>
      </c>
    </row>
    <row r="13" spans="1:4" ht="15" thickBot="1" x14ac:dyDescent="0.4">
      <c r="A13" s="74" t="s">
        <v>256</v>
      </c>
      <c r="B13" s="71">
        <v>3000</v>
      </c>
      <c r="C13" s="71"/>
      <c r="D13" s="71">
        <v>3000</v>
      </c>
    </row>
    <row r="14" spans="1:4" ht="15" thickBot="1" x14ac:dyDescent="0.4">
      <c r="A14" s="74" t="s">
        <v>254</v>
      </c>
      <c r="B14" s="71">
        <v>3000</v>
      </c>
      <c r="C14" s="71"/>
      <c r="D14" s="71">
        <v>3000</v>
      </c>
    </row>
    <row r="15" spans="1:4" ht="15" thickBot="1" x14ac:dyDescent="0.4">
      <c r="A15" s="74" t="s">
        <v>253</v>
      </c>
      <c r="B15" s="71">
        <v>3000</v>
      </c>
      <c r="C15" s="71"/>
      <c r="D15" s="71">
        <v>3000</v>
      </c>
    </row>
    <row r="16" spans="1:4" ht="15" thickBot="1" x14ac:dyDescent="0.4">
      <c r="A16" s="74" t="s">
        <v>255</v>
      </c>
      <c r="B16" s="71">
        <v>3000</v>
      </c>
      <c r="C16" s="71"/>
      <c r="D16" s="71">
        <v>3000</v>
      </c>
    </row>
    <row r="17" spans="1:4" ht="15" thickBot="1" x14ac:dyDescent="0.4">
      <c r="A17" s="74" t="s">
        <v>258</v>
      </c>
      <c r="B17" s="71">
        <v>2000</v>
      </c>
      <c r="C17" s="71"/>
      <c r="D17" s="71">
        <v>2000</v>
      </c>
    </row>
    <row r="18" spans="1:4" ht="15" thickBot="1" x14ac:dyDescent="0.4">
      <c r="A18" s="74" t="s">
        <v>260</v>
      </c>
      <c r="B18" s="71">
        <v>3000</v>
      </c>
      <c r="C18" s="71"/>
      <c r="D18" s="71">
        <v>3000</v>
      </c>
    </row>
    <row r="19" spans="1:4" ht="15" thickBot="1" x14ac:dyDescent="0.4">
      <c r="A19" s="74" t="s">
        <v>263</v>
      </c>
      <c r="B19" s="71">
        <v>1000</v>
      </c>
      <c r="C19" s="71"/>
      <c r="D19" s="71">
        <v>1000</v>
      </c>
    </row>
    <row r="20" spans="1:4" ht="15" thickBot="1" x14ac:dyDescent="0.4">
      <c r="A20" s="74" t="s">
        <v>273</v>
      </c>
      <c r="B20" s="71"/>
      <c r="C20" s="71">
        <v>1000</v>
      </c>
      <c r="D20" s="71">
        <v>1000</v>
      </c>
    </row>
    <row r="21" spans="1:4" ht="15" thickBot="1" x14ac:dyDescent="0.4">
      <c r="A21" s="74" t="s">
        <v>276</v>
      </c>
      <c r="B21" s="71">
        <v>3000</v>
      </c>
      <c r="C21" s="71"/>
      <c r="D21" s="71">
        <v>3000</v>
      </c>
    </row>
    <row r="22" spans="1:4" ht="15" thickBot="1" x14ac:dyDescent="0.4">
      <c r="A22" s="74" t="s">
        <v>278</v>
      </c>
      <c r="B22" s="71">
        <v>6000</v>
      </c>
      <c r="C22" s="71"/>
      <c r="D22" s="71">
        <v>6000</v>
      </c>
    </row>
    <row r="23" spans="1:4" ht="15" thickBot="1" x14ac:dyDescent="0.4">
      <c r="A23" s="74" t="s">
        <v>280</v>
      </c>
      <c r="B23" s="71">
        <v>1000</v>
      </c>
      <c r="C23" s="71"/>
      <c r="D23" s="71">
        <v>1000</v>
      </c>
    </row>
    <row r="24" spans="1:4" ht="15" thickBot="1" x14ac:dyDescent="0.4">
      <c r="A24" s="75" t="s">
        <v>64</v>
      </c>
      <c r="B24" s="78">
        <v>2425</v>
      </c>
      <c r="C24" s="78">
        <v>2000</v>
      </c>
      <c r="D24" s="78">
        <v>2392.3076923076924</v>
      </c>
    </row>
    <row r="25" spans="1:4" ht="15" thickBot="1" x14ac:dyDescent="0.4">
      <c r="A25" s="74" t="s">
        <v>262</v>
      </c>
      <c r="B25" s="71">
        <v>4000</v>
      </c>
      <c r="C25" s="71"/>
      <c r="D25" s="71">
        <v>4000</v>
      </c>
    </row>
    <row r="26" spans="1:4" ht="15" thickBot="1" x14ac:dyDescent="0.4">
      <c r="A26" s="74" t="s">
        <v>257</v>
      </c>
      <c r="B26" s="71">
        <v>3000</v>
      </c>
      <c r="C26" s="71"/>
      <c r="D26" s="71">
        <v>3000</v>
      </c>
    </row>
    <row r="27" spans="1:4" ht="15" thickBot="1" x14ac:dyDescent="0.4">
      <c r="A27" s="74" t="s">
        <v>274</v>
      </c>
      <c r="B27" s="71">
        <v>2000</v>
      </c>
      <c r="C27" s="71"/>
      <c r="D27" s="71">
        <v>2000</v>
      </c>
    </row>
    <row r="28" spans="1:4" ht="15" thickBot="1" x14ac:dyDescent="0.4">
      <c r="A28" s="74" t="s">
        <v>279</v>
      </c>
      <c r="B28" s="71">
        <v>2000</v>
      </c>
      <c r="C28" s="71"/>
      <c r="D28" s="71">
        <v>2000</v>
      </c>
    </row>
    <row r="29" spans="1:4" ht="15" thickBot="1" x14ac:dyDescent="0.4">
      <c r="A29" s="74" t="s">
        <v>256</v>
      </c>
      <c r="B29" s="71">
        <v>3000</v>
      </c>
      <c r="C29" s="71"/>
      <c r="D29" s="71">
        <v>3000</v>
      </c>
    </row>
    <row r="30" spans="1:4" ht="15" thickBot="1" x14ac:dyDescent="0.4">
      <c r="A30" s="74" t="s">
        <v>253</v>
      </c>
      <c r="B30" s="71">
        <v>100</v>
      </c>
      <c r="C30" s="71"/>
      <c r="D30" s="71">
        <v>100</v>
      </c>
    </row>
    <row r="31" spans="1:4" ht="15" thickBot="1" x14ac:dyDescent="0.4">
      <c r="A31" s="74" t="s">
        <v>255</v>
      </c>
      <c r="B31" s="71">
        <v>2000</v>
      </c>
      <c r="C31" s="71"/>
      <c r="D31" s="71">
        <v>2000</v>
      </c>
    </row>
    <row r="32" spans="1:4" ht="15" thickBot="1" x14ac:dyDescent="0.4">
      <c r="A32" s="74" t="s">
        <v>258</v>
      </c>
      <c r="B32" s="71">
        <v>2000</v>
      </c>
      <c r="C32" s="71"/>
      <c r="D32" s="71">
        <v>2000</v>
      </c>
    </row>
    <row r="33" spans="1:4" ht="15" thickBot="1" x14ac:dyDescent="0.4">
      <c r="A33" s="74" t="s">
        <v>260</v>
      </c>
      <c r="B33" s="71">
        <v>3000</v>
      </c>
      <c r="C33" s="71"/>
      <c r="D33" s="71">
        <v>3000</v>
      </c>
    </row>
    <row r="34" spans="1:4" ht="15" thickBot="1" x14ac:dyDescent="0.4">
      <c r="A34" s="74" t="s">
        <v>273</v>
      </c>
      <c r="B34" s="71"/>
      <c r="C34" s="71">
        <v>2000</v>
      </c>
      <c r="D34" s="71">
        <v>2000</v>
      </c>
    </row>
    <row r="35" spans="1:4" ht="15" thickBot="1" x14ac:dyDescent="0.4">
      <c r="A35" s="74" t="s">
        <v>276</v>
      </c>
      <c r="B35" s="71">
        <v>3000</v>
      </c>
      <c r="C35" s="71"/>
      <c r="D35" s="71">
        <v>3000</v>
      </c>
    </row>
    <row r="36" spans="1:4" ht="15" thickBot="1" x14ac:dyDescent="0.4">
      <c r="A36" s="74" t="s">
        <v>278</v>
      </c>
      <c r="B36" s="71">
        <v>2000</v>
      </c>
      <c r="C36" s="71"/>
      <c r="D36" s="71">
        <v>2000</v>
      </c>
    </row>
    <row r="37" spans="1:4" ht="15" thickBot="1" x14ac:dyDescent="0.4">
      <c r="A37" s="75" t="s">
        <v>210</v>
      </c>
      <c r="B37" s="71">
        <v>1000</v>
      </c>
      <c r="C37" s="71"/>
      <c r="D37" s="71">
        <v>1000</v>
      </c>
    </row>
    <row r="38" spans="1:4" ht="15" thickBot="1" x14ac:dyDescent="0.4">
      <c r="A38" s="74" t="s">
        <v>254</v>
      </c>
      <c r="B38" s="71">
        <v>1000</v>
      </c>
      <c r="C38" s="71"/>
      <c r="D38" s="71">
        <v>1000</v>
      </c>
    </row>
    <row r="39" spans="1:4" ht="15" thickBot="1" x14ac:dyDescent="0.4">
      <c r="A39" s="75" t="s">
        <v>59</v>
      </c>
      <c r="B39" s="71">
        <v>500</v>
      </c>
      <c r="C39" s="71"/>
      <c r="D39" s="71">
        <v>500</v>
      </c>
    </row>
    <row r="40" spans="1:4" ht="15" thickBot="1" x14ac:dyDescent="0.4">
      <c r="A40" s="74" t="s">
        <v>257</v>
      </c>
      <c r="B40" s="71">
        <v>500</v>
      </c>
      <c r="C40" s="71"/>
      <c r="D40" s="71">
        <v>500</v>
      </c>
    </row>
    <row r="41" spans="1:4" ht="15" thickBot="1" x14ac:dyDescent="0.4">
      <c r="A41" s="74" t="s">
        <v>256</v>
      </c>
      <c r="B41" s="71">
        <v>500</v>
      </c>
      <c r="C41" s="71"/>
      <c r="D41" s="71">
        <v>500</v>
      </c>
    </row>
    <row r="42" spans="1:4" ht="15" thickBot="1" x14ac:dyDescent="0.4">
      <c r="A42" s="74" t="s">
        <v>254</v>
      </c>
      <c r="B42" s="71">
        <v>500</v>
      </c>
      <c r="C42" s="71"/>
      <c r="D42" s="71">
        <v>500</v>
      </c>
    </row>
    <row r="43" spans="1:4" ht="15" thickBot="1" x14ac:dyDescent="0.4">
      <c r="A43" s="74" t="s">
        <v>253</v>
      </c>
      <c r="B43" s="71">
        <v>500</v>
      </c>
      <c r="C43" s="71"/>
      <c r="D43" s="71">
        <v>500</v>
      </c>
    </row>
    <row r="44" spans="1:4" ht="15" thickBot="1" x14ac:dyDescent="0.4">
      <c r="A44" s="74" t="s">
        <v>255</v>
      </c>
      <c r="B44" s="71">
        <v>500</v>
      </c>
      <c r="C44" s="71"/>
      <c r="D44" s="71">
        <v>500</v>
      </c>
    </row>
    <row r="45" spans="1:4" ht="15" thickBot="1" x14ac:dyDescent="0.4">
      <c r="A45" s="74" t="s">
        <v>258</v>
      </c>
      <c r="B45" s="71">
        <v>500</v>
      </c>
      <c r="C45" s="71"/>
      <c r="D45" s="71">
        <v>500</v>
      </c>
    </row>
    <row r="46" spans="1:4" ht="15" thickBot="1" x14ac:dyDescent="0.4">
      <c r="A46" s="74" t="s">
        <v>259</v>
      </c>
      <c r="B46" s="71">
        <v>500</v>
      </c>
      <c r="C46" s="71"/>
      <c r="D46" s="71">
        <v>500</v>
      </c>
    </row>
    <row r="47" spans="1:4" ht="15" thickBot="1" x14ac:dyDescent="0.4">
      <c r="A47" s="74" t="s">
        <v>260</v>
      </c>
      <c r="B47" s="71">
        <v>500</v>
      </c>
      <c r="C47" s="71"/>
      <c r="D47" s="71">
        <v>500</v>
      </c>
    </row>
    <row r="48" spans="1:4" ht="15" thickBot="1" x14ac:dyDescent="0.4">
      <c r="A48" s="75" t="s">
        <v>48</v>
      </c>
      <c r="B48" s="71">
        <v>500</v>
      </c>
      <c r="C48" s="71"/>
      <c r="D48" s="71">
        <v>500</v>
      </c>
    </row>
    <row r="49" spans="1:4" ht="15" thickBot="1" x14ac:dyDescent="0.4">
      <c r="A49" s="74" t="s">
        <v>275</v>
      </c>
      <c r="B49" s="71">
        <v>500</v>
      </c>
      <c r="C49" s="71"/>
      <c r="D49" s="71">
        <v>500</v>
      </c>
    </row>
    <row r="50" spans="1:4" ht="15" thickBot="1" x14ac:dyDescent="0.4">
      <c r="A50" s="74" t="s">
        <v>262</v>
      </c>
      <c r="B50" s="71">
        <v>500</v>
      </c>
      <c r="C50" s="71"/>
      <c r="D50" s="71">
        <v>500</v>
      </c>
    </row>
    <row r="51" spans="1:4" ht="15" thickBot="1" x14ac:dyDescent="0.4">
      <c r="A51" s="74" t="s">
        <v>257</v>
      </c>
      <c r="B51" s="71">
        <v>500</v>
      </c>
      <c r="C51" s="71"/>
      <c r="D51" s="71">
        <v>500</v>
      </c>
    </row>
    <row r="52" spans="1:4" ht="15" thickBot="1" x14ac:dyDescent="0.4">
      <c r="A52" s="74" t="s">
        <v>271</v>
      </c>
      <c r="B52" s="71">
        <v>500</v>
      </c>
      <c r="C52" s="71"/>
      <c r="D52" s="71">
        <v>500</v>
      </c>
    </row>
    <row r="53" spans="1:4" ht="15" thickBot="1" x14ac:dyDescent="0.4">
      <c r="A53" s="74" t="s">
        <v>254</v>
      </c>
      <c r="B53" s="71">
        <v>500</v>
      </c>
      <c r="C53" s="71"/>
      <c r="D53" s="71">
        <v>500</v>
      </c>
    </row>
    <row r="54" spans="1:4" ht="15" thickBot="1" x14ac:dyDescent="0.4">
      <c r="A54" s="74" t="s">
        <v>253</v>
      </c>
      <c r="B54" s="71">
        <v>500</v>
      </c>
      <c r="C54" s="71"/>
      <c r="D54" s="71">
        <v>500</v>
      </c>
    </row>
    <row r="55" spans="1:4" ht="15" thickBot="1" x14ac:dyDescent="0.4">
      <c r="A55" s="74" t="s">
        <v>260</v>
      </c>
      <c r="B55" s="71">
        <v>500</v>
      </c>
      <c r="C55" s="71"/>
      <c r="D55" s="71">
        <v>500</v>
      </c>
    </row>
    <row r="56" spans="1:4" ht="15" thickBot="1" x14ac:dyDescent="0.4">
      <c r="A56" s="75" t="s">
        <v>215</v>
      </c>
      <c r="B56" s="71">
        <v>446.15384615384613</v>
      </c>
      <c r="C56" s="71">
        <v>500</v>
      </c>
      <c r="D56" s="71">
        <v>450</v>
      </c>
    </row>
    <row r="57" spans="1:4" ht="15" thickBot="1" x14ac:dyDescent="0.4">
      <c r="A57" s="74" t="s">
        <v>275</v>
      </c>
      <c r="B57" s="71">
        <v>500</v>
      </c>
      <c r="C57" s="71"/>
      <c r="D57" s="71">
        <v>500</v>
      </c>
    </row>
    <row r="58" spans="1:4" ht="15" thickBot="1" x14ac:dyDescent="0.4">
      <c r="A58" s="74" t="s">
        <v>262</v>
      </c>
      <c r="B58" s="71">
        <v>500</v>
      </c>
      <c r="C58" s="71"/>
      <c r="D58" s="71">
        <v>500</v>
      </c>
    </row>
    <row r="59" spans="1:4" ht="15" thickBot="1" x14ac:dyDescent="0.4">
      <c r="A59" s="74" t="s">
        <v>274</v>
      </c>
      <c r="B59" s="71">
        <v>500</v>
      </c>
      <c r="C59" s="71"/>
      <c r="D59" s="71">
        <v>500</v>
      </c>
    </row>
    <row r="60" spans="1:4" ht="15" thickBot="1" x14ac:dyDescent="0.4">
      <c r="A60" s="74" t="s">
        <v>279</v>
      </c>
      <c r="B60" s="71">
        <v>500</v>
      </c>
      <c r="C60" s="71"/>
      <c r="D60" s="71">
        <v>500</v>
      </c>
    </row>
    <row r="61" spans="1:4" ht="15" thickBot="1" x14ac:dyDescent="0.4">
      <c r="A61" s="74" t="s">
        <v>256</v>
      </c>
      <c r="B61" s="71">
        <v>500</v>
      </c>
      <c r="C61" s="71"/>
      <c r="D61" s="71">
        <v>500</v>
      </c>
    </row>
    <row r="62" spans="1:4" ht="15" thickBot="1" x14ac:dyDescent="0.4">
      <c r="A62" s="74" t="s">
        <v>254</v>
      </c>
      <c r="B62" s="71">
        <v>500</v>
      </c>
      <c r="C62" s="71"/>
      <c r="D62" s="71">
        <v>500</v>
      </c>
    </row>
    <row r="63" spans="1:4" ht="15" thickBot="1" x14ac:dyDescent="0.4">
      <c r="A63" s="74" t="s">
        <v>253</v>
      </c>
      <c r="B63" s="71">
        <v>400</v>
      </c>
      <c r="C63" s="71"/>
      <c r="D63" s="71">
        <v>400</v>
      </c>
    </row>
    <row r="64" spans="1:4" ht="15" thickBot="1" x14ac:dyDescent="0.4">
      <c r="A64" s="74" t="s">
        <v>272</v>
      </c>
      <c r="B64" s="71">
        <v>300</v>
      </c>
      <c r="C64" s="71"/>
      <c r="D64" s="71">
        <v>300</v>
      </c>
    </row>
    <row r="65" spans="1:4" ht="15" thickBot="1" x14ac:dyDescent="0.4">
      <c r="A65" s="74" t="s">
        <v>258</v>
      </c>
      <c r="B65" s="71">
        <v>100</v>
      </c>
      <c r="C65" s="71"/>
      <c r="D65" s="71">
        <v>100</v>
      </c>
    </row>
    <row r="66" spans="1:4" ht="15" thickBot="1" x14ac:dyDescent="0.4">
      <c r="A66" s="74" t="s">
        <v>259</v>
      </c>
      <c r="B66" s="71">
        <v>500</v>
      </c>
      <c r="C66" s="71"/>
      <c r="D66" s="71">
        <v>500</v>
      </c>
    </row>
    <row r="67" spans="1:4" ht="15" thickBot="1" x14ac:dyDescent="0.4">
      <c r="A67" s="74" t="s">
        <v>260</v>
      </c>
      <c r="B67" s="71">
        <v>500</v>
      </c>
      <c r="C67" s="71"/>
      <c r="D67" s="71">
        <v>500</v>
      </c>
    </row>
    <row r="68" spans="1:4" ht="15" thickBot="1" x14ac:dyDescent="0.4">
      <c r="A68" s="74" t="s">
        <v>273</v>
      </c>
      <c r="B68" s="71"/>
      <c r="C68" s="71">
        <v>500</v>
      </c>
      <c r="D68" s="71">
        <v>500</v>
      </c>
    </row>
    <row r="69" spans="1:4" ht="15" thickBot="1" x14ac:dyDescent="0.4">
      <c r="A69" s="74" t="s">
        <v>278</v>
      </c>
      <c r="B69" s="71">
        <v>500</v>
      </c>
      <c r="C69" s="71"/>
      <c r="D69" s="71">
        <v>500</v>
      </c>
    </row>
    <row r="70" spans="1:4" ht="15" thickBot="1" x14ac:dyDescent="0.4">
      <c r="A70" s="75" t="s">
        <v>49</v>
      </c>
      <c r="B70" s="71">
        <v>390</v>
      </c>
      <c r="C70" s="71"/>
      <c r="D70" s="71">
        <v>390</v>
      </c>
    </row>
    <row r="71" spans="1:4" ht="15" thickBot="1" x14ac:dyDescent="0.4">
      <c r="A71" s="74" t="s">
        <v>275</v>
      </c>
      <c r="B71" s="71">
        <v>400</v>
      </c>
      <c r="C71" s="71"/>
      <c r="D71" s="71">
        <v>400</v>
      </c>
    </row>
    <row r="72" spans="1:4" ht="15" thickBot="1" x14ac:dyDescent="0.4">
      <c r="A72" s="74" t="s">
        <v>262</v>
      </c>
      <c r="B72" s="71">
        <v>500</v>
      </c>
      <c r="C72" s="71"/>
      <c r="D72" s="71">
        <v>500</v>
      </c>
    </row>
    <row r="73" spans="1:4" ht="15" thickBot="1" x14ac:dyDescent="0.4">
      <c r="A73" s="74" t="s">
        <v>271</v>
      </c>
      <c r="B73" s="71">
        <v>400</v>
      </c>
      <c r="C73" s="71"/>
      <c r="D73" s="71">
        <v>400</v>
      </c>
    </row>
    <row r="74" spans="1:4" ht="15" thickBot="1" x14ac:dyDescent="0.4">
      <c r="A74" s="74" t="s">
        <v>274</v>
      </c>
      <c r="B74" s="71">
        <v>300</v>
      </c>
      <c r="C74" s="71"/>
      <c r="D74" s="71">
        <v>300</v>
      </c>
    </row>
    <row r="75" spans="1:4" ht="15" thickBot="1" x14ac:dyDescent="0.4">
      <c r="A75" s="74" t="s">
        <v>279</v>
      </c>
      <c r="B75" s="71">
        <v>500</v>
      </c>
      <c r="C75" s="71"/>
      <c r="D75" s="71">
        <v>500</v>
      </c>
    </row>
    <row r="76" spans="1:4" ht="15" thickBot="1" x14ac:dyDescent="0.4">
      <c r="A76" s="74" t="s">
        <v>254</v>
      </c>
      <c r="B76" s="71">
        <v>300</v>
      </c>
      <c r="C76" s="71"/>
      <c r="D76" s="71">
        <v>300</v>
      </c>
    </row>
    <row r="77" spans="1:4" ht="15" thickBot="1" x14ac:dyDescent="0.4">
      <c r="A77" s="74" t="s">
        <v>253</v>
      </c>
      <c r="B77" s="71">
        <v>300</v>
      </c>
      <c r="C77" s="71"/>
      <c r="D77" s="71">
        <v>300</v>
      </c>
    </row>
    <row r="78" spans="1:4" ht="15" thickBot="1" x14ac:dyDescent="0.4">
      <c r="A78" s="74" t="s">
        <v>255</v>
      </c>
      <c r="B78" s="71">
        <v>500</v>
      </c>
      <c r="C78" s="71"/>
      <c r="D78" s="71">
        <v>500</v>
      </c>
    </row>
    <row r="79" spans="1:4" ht="15" thickBot="1" x14ac:dyDescent="0.4">
      <c r="A79" s="74" t="s">
        <v>272</v>
      </c>
      <c r="B79" s="71">
        <v>300</v>
      </c>
      <c r="C79" s="71"/>
      <c r="D79" s="71">
        <v>300</v>
      </c>
    </row>
    <row r="80" spans="1:4" ht="15" thickBot="1" x14ac:dyDescent="0.4">
      <c r="A80" s="74" t="s">
        <v>258</v>
      </c>
      <c r="B80" s="71">
        <v>150</v>
      </c>
      <c r="C80" s="71"/>
      <c r="D80" s="71">
        <v>150</v>
      </c>
    </row>
    <row r="81" spans="1:4" ht="15" thickBot="1" x14ac:dyDescent="0.4">
      <c r="A81" s="74" t="s">
        <v>259</v>
      </c>
      <c r="B81" s="71">
        <v>300</v>
      </c>
      <c r="C81" s="71"/>
      <c r="D81" s="71">
        <v>300</v>
      </c>
    </row>
    <row r="82" spans="1:4" ht="15" thickBot="1" x14ac:dyDescent="0.4">
      <c r="A82" s="74" t="s">
        <v>260</v>
      </c>
      <c r="B82" s="71">
        <v>400</v>
      </c>
      <c r="C82" s="71"/>
      <c r="D82" s="71">
        <v>400</v>
      </c>
    </row>
    <row r="83" spans="1:4" ht="15" thickBot="1" x14ac:dyDescent="0.4">
      <c r="A83" s="74" t="s">
        <v>273</v>
      </c>
      <c r="B83" s="71">
        <v>500</v>
      </c>
      <c r="C83" s="71"/>
      <c r="D83" s="71">
        <v>500</v>
      </c>
    </row>
    <row r="84" spans="1:4" ht="15" thickBot="1" x14ac:dyDescent="0.4">
      <c r="A84" s="74" t="s">
        <v>276</v>
      </c>
      <c r="B84" s="71">
        <v>500</v>
      </c>
      <c r="C84" s="71"/>
      <c r="D84" s="71">
        <v>500</v>
      </c>
    </row>
    <row r="85" spans="1:4" ht="15" thickBot="1" x14ac:dyDescent="0.4">
      <c r="A85" s="74" t="s">
        <v>278</v>
      </c>
      <c r="B85" s="71">
        <v>500</v>
      </c>
      <c r="C85" s="71"/>
      <c r="D85" s="71">
        <v>500</v>
      </c>
    </row>
    <row r="86" spans="1:4" ht="15" thickBot="1" x14ac:dyDescent="0.4">
      <c r="A86" s="75" t="s">
        <v>71</v>
      </c>
      <c r="B86" s="71">
        <v>270</v>
      </c>
      <c r="C86" s="71"/>
      <c r="D86" s="71">
        <v>270</v>
      </c>
    </row>
    <row r="87" spans="1:4" ht="15" thickBot="1" x14ac:dyDescent="0.4">
      <c r="A87" s="74" t="s">
        <v>275</v>
      </c>
      <c r="B87" s="71">
        <v>300</v>
      </c>
      <c r="C87" s="71"/>
      <c r="D87" s="71">
        <v>300</v>
      </c>
    </row>
    <row r="88" spans="1:4" ht="15" thickBot="1" x14ac:dyDescent="0.4">
      <c r="A88" s="74" t="s">
        <v>262</v>
      </c>
      <c r="B88" s="71">
        <v>300</v>
      </c>
      <c r="C88" s="71"/>
      <c r="D88" s="71">
        <v>300</v>
      </c>
    </row>
    <row r="89" spans="1:4" ht="15" thickBot="1" x14ac:dyDescent="0.4">
      <c r="A89" s="74" t="s">
        <v>257</v>
      </c>
      <c r="B89" s="71">
        <v>300</v>
      </c>
      <c r="C89" s="71"/>
      <c r="D89" s="71">
        <v>300</v>
      </c>
    </row>
    <row r="90" spans="1:4" ht="15" thickBot="1" x14ac:dyDescent="0.4">
      <c r="A90" s="74" t="s">
        <v>271</v>
      </c>
      <c r="B90" s="71">
        <v>200</v>
      </c>
      <c r="C90" s="71"/>
      <c r="D90" s="71">
        <v>200</v>
      </c>
    </row>
    <row r="91" spans="1:4" ht="15" thickBot="1" x14ac:dyDescent="0.4">
      <c r="A91" s="74" t="s">
        <v>253</v>
      </c>
      <c r="B91" s="71">
        <v>250</v>
      </c>
      <c r="C91" s="71"/>
      <c r="D91" s="71">
        <v>250</v>
      </c>
    </row>
    <row r="92" spans="1:4" ht="15" thickBot="1" x14ac:dyDescent="0.4">
      <c r="A92" s="74" t="s">
        <v>255</v>
      </c>
      <c r="B92" s="71">
        <v>300</v>
      </c>
      <c r="C92" s="71"/>
      <c r="D92" s="71">
        <v>300</v>
      </c>
    </row>
    <row r="93" spans="1:4" ht="15" thickBot="1" x14ac:dyDescent="0.4">
      <c r="A93" s="74" t="s">
        <v>272</v>
      </c>
      <c r="B93" s="71">
        <v>200</v>
      </c>
      <c r="C93" s="71"/>
      <c r="D93" s="71">
        <v>200</v>
      </c>
    </row>
    <row r="94" spans="1:4" ht="15" thickBot="1" x14ac:dyDescent="0.4">
      <c r="A94" s="74" t="s">
        <v>259</v>
      </c>
      <c r="B94" s="71">
        <v>300</v>
      </c>
      <c r="C94" s="71"/>
      <c r="D94" s="71">
        <v>300</v>
      </c>
    </row>
    <row r="95" spans="1:4" ht="15" thickBot="1" x14ac:dyDescent="0.4">
      <c r="A95" s="74" t="s">
        <v>278</v>
      </c>
      <c r="B95" s="71">
        <v>300</v>
      </c>
      <c r="C95" s="71"/>
      <c r="D95" s="71">
        <v>300</v>
      </c>
    </row>
    <row r="96" spans="1:4" ht="15" thickBot="1" x14ac:dyDescent="0.4">
      <c r="A96" s="75" t="s">
        <v>54</v>
      </c>
      <c r="B96" s="71">
        <v>240</v>
      </c>
      <c r="C96" s="71"/>
      <c r="D96" s="71">
        <v>240</v>
      </c>
    </row>
    <row r="97" spans="1:4" ht="15" thickBot="1" x14ac:dyDescent="0.4">
      <c r="A97" s="74" t="s">
        <v>217</v>
      </c>
      <c r="B97" s="71">
        <v>200</v>
      </c>
      <c r="C97" s="71"/>
      <c r="D97" s="71">
        <v>200</v>
      </c>
    </row>
    <row r="98" spans="1:4" ht="15" thickBot="1" x14ac:dyDescent="0.4">
      <c r="A98" s="74" t="s">
        <v>270</v>
      </c>
      <c r="B98" s="71">
        <v>200</v>
      </c>
      <c r="C98" s="71"/>
      <c r="D98" s="71">
        <v>200</v>
      </c>
    </row>
    <row r="99" spans="1:4" ht="15" thickBot="1" x14ac:dyDescent="0.4">
      <c r="A99" s="74" t="s">
        <v>261</v>
      </c>
      <c r="B99" s="71">
        <v>300</v>
      </c>
      <c r="C99" s="71"/>
      <c r="D99" s="71">
        <v>300</v>
      </c>
    </row>
    <row r="100" spans="1:4" ht="15" thickBot="1" x14ac:dyDescent="0.4">
      <c r="A100" s="74" t="s">
        <v>263</v>
      </c>
      <c r="B100" s="71">
        <v>200</v>
      </c>
      <c r="C100" s="71"/>
      <c r="D100" s="71">
        <v>200</v>
      </c>
    </row>
    <row r="101" spans="1:4" ht="15" thickBot="1" x14ac:dyDescent="0.4">
      <c r="A101" s="74" t="s">
        <v>264</v>
      </c>
      <c r="B101" s="71">
        <v>500</v>
      </c>
      <c r="C101" s="71"/>
      <c r="D101" s="71">
        <v>500</v>
      </c>
    </row>
    <row r="102" spans="1:4" ht="15" thickBot="1" x14ac:dyDescent="0.4">
      <c r="A102" s="74" t="s">
        <v>266</v>
      </c>
      <c r="B102" s="71">
        <v>500</v>
      </c>
      <c r="C102" s="71"/>
      <c r="D102" s="71">
        <v>500</v>
      </c>
    </row>
    <row r="103" spans="1:4" ht="15" thickBot="1" x14ac:dyDescent="0.4">
      <c r="A103" s="74" t="s">
        <v>267</v>
      </c>
      <c r="B103" s="71">
        <v>100</v>
      </c>
      <c r="C103" s="71"/>
      <c r="D103" s="71">
        <v>100</v>
      </c>
    </row>
    <row r="104" spans="1:4" ht="15" thickBot="1" x14ac:dyDescent="0.4">
      <c r="A104" s="74" t="s">
        <v>268</v>
      </c>
      <c r="B104" s="71">
        <v>100</v>
      </c>
      <c r="C104" s="71"/>
      <c r="D104" s="71">
        <v>100</v>
      </c>
    </row>
    <row r="105" spans="1:4" ht="15" thickBot="1" x14ac:dyDescent="0.4">
      <c r="A105" s="74" t="s">
        <v>281</v>
      </c>
      <c r="B105" s="71">
        <v>100</v>
      </c>
      <c r="C105" s="71"/>
      <c r="D105" s="71">
        <v>100</v>
      </c>
    </row>
    <row r="106" spans="1:4" ht="15" thickBot="1" x14ac:dyDescent="0.4">
      <c r="A106" s="74" t="s">
        <v>282</v>
      </c>
      <c r="B106" s="71">
        <v>200</v>
      </c>
      <c r="C106" s="71"/>
      <c r="D106" s="71">
        <v>200</v>
      </c>
    </row>
    <row r="107" spans="1:4" ht="15" thickBot="1" x14ac:dyDescent="0.4">
      <c r="A107" s="75" t="s">
        <v>57</v>
      </c>
      <c r="B107" s="71">
        <v>191</v>
      </c>
      <c r="C107" s="71"/>
      <c r="D107" s="71">
        <v>191</v>
      </c>
    </row>
    <row r="108" spans="1:4" ht="15" thickBot="1" x14ac:dyDescent="0.4">
      <c r="A108" s="74" t="s">
        <v>217</v>
      </c>
      <c r="B108" s="71">
        <v>200</v>
      </c>
      <c r="C108" s="71"/>
      <c r="D108" s="71">
        <v>200</v>
      </c>
    </row>
    <row r="109" spans="1:4" ht="15" thickBot="1" x14ac:dyDescent="0.4">
      <c r="A109" s="74" t="s">
        <v>270</v>
      </c>
      <c r="B109" s="71">
        <v>200</v>
      </c>
      <c r="C109" s="71"/>
      <c r="D109" s="71">
        <v>200</v>
      </c>
    </row>
    <row r="110" spans="1:4" ht="15" thickBot="1" x14ac:dyDescent="0.4">
      <c r="A110" s="74" t="s">
        <v>263</v>
      </c>
      <c r="B110" s="71">
        <v>100</v>
      </c>
      <c r="C110" s="71"/>
      <c r="D110" s="71">
        <v>100</v>
      </c>
    </row>
    <row r="111" spans="1:4" ht="15" thickBot="1" x14ac:dyDescent="0.4">
      <c r="A111" s="74" t="s">
        <v>264</v>
      </c>
      <c r="B111" s="71">
        <v>500</v>
      </c>
      <c r="C111" s="71"/>
      <c r="D111" s="71">
        <v>500</v>
      </c>
    </row>
    <row r="112" spans="1:4" ht="15" thickBot="1" x14ac:dyDescent="0.4">
      <c r="A112" s="74" t="s">
        <v>265</v>
      </c>
      <c r="B112" s="71">
        <v>200</v>
      </c>
      <c r="C112" s="71"/>
      <c r="D112" s="71">
        <v>200</v>
      </c>
    </row>
    <row r="113" spans="1:4" ht="15" thickBot="1" x14ac:dyDescent="0.4">
      <c r="A113" s="74" t="s">
        <v>266</v>
      </c>
      <c r="B113" s="71">
        <v>500</v>
      </c>
      <c r="C113" s="71"/>
      <c r="D113" s="71">
        <v>500</v>
      </c>
    </row>
    <row r="114" spans="1:4" ht="15" thickBot="1" x14ac:dyDescent="0.4">
      <c r="A114" s="74" t="s">
        <v>268</v>
      </c>
      <c r="B114" s="71">
        <v>50</v>
      </c>
      <c r="C114" s="71"/>
      <c r="D114" s="71">
        <v>50</v>
      </c>
    </row>
    <row r="115" spans="1:4" ht="15" thickBot="1" x14ac:dyDescent="0.4">
      <c r="A115" s="74" t="s">
        <v>269</v>
      </c>
      <c r="B115" s="71">
        <v>10</v>
      </c>
      <c r="C115" s="71"/>
      <c r="D115" s="71">
        <v>10</v>
      </c>
    </row>
    <row r="116" spans="1:4" ht="15" thickBot="1" x14ac:dyDescent="0.4">
      <c r="A116" s="74" t="s">
        <v>277</v>
      </c>
      <c r="B116" s="71">
        <v>50</v>
      </c>
      <c r="C116" s="71"/>
      <c r="D116" s="71">
        <v>50</v>
      </c>
    </row>
    <row r="117" spans="1:4" ht="15" thickBot="1" x14ac:dyDescent="0.4">
      <c r="A117" s="74" t="s">
        <v>281</v>
      </c>
      <c r="B117" s="71">
        <v>100</v>
      </c>
      <c r="C117" s="71"/>
      <c r="D117" s="71">
        <v>100</v>
      </c>
    </row>
    <row r="118" spans="1:4" ht="15" thickBot="1" x14ac:dyDescent="0.4">
      <c r="A118" s="75" t="s">
        <v>203</v>
      </c>
      <c r="B118" s="71">
        <v>175</v>
      </c>
      <c r="C118" s="71"/>
      <c r="D118" s="71">
        <v>175</v>
      </c>
    </row>
    <row r="119" spans="1:4" ht="15" thickBot="1" x14ac:dyDescent="0.4">
      <c r="A119" s="74" t="s">
        <v>262</v>
      </c>
      <c r="B119" s="71">
        <v>200</v>
      </c>
      <c r="C119" s="71"/>
      <c r="D119" s="71">
        <v>200</v>
      </c>
    </row>
    <row r="120" spans="1:4" ht="15" thickBot="1" x14ac:dyDescent="0.4">
      <c r="A120" s="74" t="s">
        <v>274</v>
      </c>
      <c r="B120" s="71">
        <v>100</v>
      </c>
      <c r="C120" s="71"/>
      <c r="D120" s="71">
        <v>100</v>
      </c>
    </row>
    <row r="121" spans="1:4" ht="15" thickBot="1" x14ac:dyDescent="0.4">
      <c r="A121" s="74" t="s">
        <v>256</v>
      </c>
      <c r="B121" s="71">
        <v>200</v>
      </c>
      <c r="C121" s="71"/>
      <c r="D121" s="71">
        <v>200</v>
      </c>
    </row>
    <row r="122" spans="1:4" ht="15" thickBot="1" x14ac:dyDescent="0.4">
      <c r="A122" s="74" t="s">
        <v>254</v>
      </c>
      <c r="B122" s="71">
        <v>100</v>
      </c>
      <c r="C122" s="71"/>
      <c r="D122" s="71">
        <v>100</v>
      </c>
    </row>
    <row r="123" spans="1:4" ht="15" thickBot="1" x14ac:dyDescent="0.4">
      <c r="A123" s="74" t="s">
        <v>255</v>
      </c>
      <c r="B123" s="71">
        <v>200</v>
      </c>
      <c r="C123" s="71"/>
      <c r="D123" s="71">
        <v>200</v>
      </c>
    </row>
    <row r="124" spans="1:4" ht="15" thickBot="1" x14ac:dyDescent="0.4">
      <c r="A124" s="74" t="s">
        <v>272</v>
      </c>
      <c r="B124" s="71">
        <v>200</v>
      </c>
      <c r="C124" s="71"/>
      <c r="D124" s="71">
        <v>200</v>
      </c>
    </row>
    <row r="125" spans="1:4" ht="15" thickBot="1" x14ac:dyDescent="0.4">
      <c r="A125" s="74" t="s">
        <v>258</v>
      </c>
      <c r="B125" s="71">
        <v>200</v>
      </c>
      <c r="C125" s="71"/>
      <c r="D125" s="71">
        <v>200</v>
      </c>
    </row>
    <row r="126" spans="1:4" ht="15" thickBot="1" x14ac:dyDescent="0.4">
      <c r="A126" s="74" t="s">
        <v>259</v>
      </c>
      <c r="B126" s="71">
        <v>200</v>
      </c>
      <c r="C126" s="71"/>
      <c r="D126" s="71">
        <v>200</v>
      </c>
    </row>
    <row r="127" spans="1:4" ht="15" thickBot="1" x14ac:dyDescent="0.4">
      <c r="A127" s="75" t="s">
        <v>56</v>
      </c>
      <c r="B127" s="71">
        <v>125</v>
      </c>
      <c r="C127" s="71"/>
      <c r="D127" s="71">
        <v>125</v>
      </c>
    </row>
    <row r="128" spans="1:4" ht="15" thickBot="1" x14ac:dyDescent="0.4">
      <c r="A128" s="74" t="s">
        <v>263</v>
      </c>
      <c r="B128" s="71">
        <v>200</v>
      </c>
      <c r="C128" s="71"/>
      <c r="D128" s="71">
        <v>200</v>
      </c>
    </row>
    <row r="129" spans="1:4" ht="15" thickBot="1" x14ac:dyDescent="0.4">
      <c r="A129" s="74" t="s">
        <v>269</v>
      </c>
      <c r="B129" s="71">
        <v>50</v>
      </c>
      <c r="C129" s="71"/>
      <c r="D129" s="71">
        <v>50</v>
      </c>
    </row>
    <row r="130" spans="1:4" ht="15" thickBot="1" x14ac:dyDescent="0.4">
      <c r="A130" s="75" t="s">
        <v>60</v>
      </c>
      <c r="B130" s="71">
        <v>90</v>
      </c>
      <c r="C130" s="71"/>
      <c r="D130" s="71">
        <v>90</v>
      </c>
    </row>
    <row r="131" spans="1:4" ht="15" thickBot="1" x14ac:dyDescent="0.4">
      <c r="A131" s="74" t="s">
        <v>256</v>
      </c>
      <c r="B131" s="71">
        <v>100</v>
      </c>
      <c r="C131" s="71"/>
      <c r="D131" s="71">
        <v>100</v>
      </c>
    </row>
    <row r="132" spans="1:4" ht="15" thickBot="1" x14ac:dyDescent="0.4">
      <c r="A132" s="74" t="s">
        <v>258</v>
      </c>
      <c r="B132" s="71">
        <v>80</v>
      </c>
      <c r="C132" s="71"/>
      <c r="D132" s="71">
        <v>80</v>
      </c>
    </row>
    <row r="133" spans="1:4" ht="15" thickBot="1" x14ac:dyDescent="0.4">
      <c r="A133" s="75" t="s">
        <v>61</v>
      </c>
      <c r="B133" s="71">
        <v>60</v>
      </c>
      <c r="C133" s="71"/>
      <c r="D133" s="71">
        <v>60</v>
      </c>
    </row>
    <row r="134" spans="1:4" ht="15" thickBot="1" x14ac:dyDescent="0.4">
      <c r="A134" s="74" t="s">
        <v>265</v>
      </c>
      <c r="B134" s="71">
        <v>60</v>
      </c>
      <c r="C134" s="71"/>
      <c r="D134" s="71">
        <v>60</v>
      </c>
    </row>
    <row r="135" spans="1:4" ht="15" thickBot="1" x14ac:dyDescent="0.4">
      <c r="A135" s="75" t="s">
        <v>58</v>
      </c>
      <c r="B135" s="71">
        <v>60</v>
      </c>
      <c r="C135" s="71"/>
      <c r="D135" s="71">
        <v>60</v>
      </c>
    </row>
    <row r="136" spans="1:4" ht="15" thickBot="1" x14ac:dyDescent="0.4">
      <c r="A136" s="74" t="s">
        <v>259</v>
      </c>
      <c r="B136" s="71">
        <v>100</v>
      </c>
      <c r="C136" s="71"/>
      <c r="D136" s="71">
        <v>100</v>
      </c>
    </row>
    <row r="137" spans="1:4" ht="15" thickBot="1" x14ac:dyDescent="0.4">
      <c r="A137" s="74" t="s">
        <v>278</v>
      </c>
      <c r="B137" s="71">
        <v>20</v>
      </c>
      <c r="C137" s="71"/>
      <c r="D137" s="71">
        <v>20</v>
      </c>
    </row>
    <row r="138" spans="1:4" ht="15" thickBot="1" x14ac:dyDescent="0.4">
      <c r="A138" s="75" t="s">
        <v>178</v>
      </c>
      <c r="B138" s="78">
        <v>870.93220338983053</v>
      </c>
      <c r="C138" s="78">
        <v>1166.6666666666667</v>
      </c>
      <c r="D138" s="78">
        <v>878.2644628099174</v>
      </c>
    </row>
  </sheetData>
  <pageMargins left="0.7" right="0.7" top="0.75" bottom="0.75" header="0.3" footer="0.3"/>
  <pageSetup paperSize="9"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4">
    <tabColor theme="7" tint="0.59999389629810485"/>
  </sheetPr>
  <dimension ref="A2:B222"/>
  <sheetViews>
    <sheetView showGridLines="0" workbookViewId="0">
      <selection activeCell="E9" sqref="E9"/>
    </sheetView>
  </sheetViews>
  <sheetFormatPr defaultRowHeight="14.5" x14ac:dyDescent="0.35"/>
  <cols>
    <col min="1" max="1" width="30.90625" bestFit="1" customWidth="1"/>
    <col min="2" max="2" width="17" bestFit="1" customWidth="1"/>
    <col min="3" max="3" width="19.7265625" bestFit="1" customWidth="1"/>
    <col min="4" max="4" width="8.7265625" bestFit="1" customWidth="1"/>
    <col min="5" max="5" width="11.26953125" bestFit="1" customWidth="1"/>
  </cols>
  <sheetData>
    <row r="2" spans="1:2" ht="15" thickBot="1" x14ac:dyDescent="0.4"/>
    <row r="3" spans="1:2" ht="15" thickBot="1" x14ac:dyDescent="0.4"/>
    <row r="4" spans="1:2" ht="15" thickBot="1" x14ac:dyDescent="0.4">
      <c r="A4" s="72" t="s">
        <v>18</v>
      </c>
      <c r="B4" s="9" t="s">
        <v>179</v>
      </c>
    </row>
    <row r="5" spans="1:2" ht="15" thickBot="1" x14ac:dyDescent="0.4"/>
    <row r="6" spans="1:2" ht="15" thickBot="1" x14ac:dyDescent="0.4">
      <c r="A6" s="72" t="s">
        <v>177</v>
      </c>
      <c r="B6" s="9" t="s">
        <v>182</v>
      </c>
    </row>
    <row r="7" spans="1:2" ht="15" thickBot="1" x14ac:dyDescent="0.4">
      <c r="A7" s="75" t="s">
        <v>65</v>
      </c>
      <c r="B7" s="71">
        <v>6000</v>
      </c>
    </row>
    <row r="8" spans="1:2" ht="15" thickBot="1" x14ac:dyDescent="0.4">
      <c r="A8" s="74" t="s">
        <v>257</v>
      </c>
      <c r="B8" s="71">
        <v>3000</v>
      </c>
    </row>
    <row r="9" spans="1:2" ht="15" thickBot="1" x14ac:dyDescent="0.4">
      <c r="A9" s="83">
        <v>45846</v>
      </c>
      <c r="B9" s="71">
        <v>3000</v>
      </c>
    </row>
    <row r="10" spans="1:2" ht="15" thickBot="1" x14ac:dyDescent="0.4">
      <c r="A10" s="83">
        <v>45855</v>
      </c>
      <c r="B10" s="71">
        <v>3000</v>
      </c>
    </row>
    <row r="11" spans="1:2" ht="15" thickBot="1" x14ac:dyDescent="0.4">
      <c r="A11" s="74" t="s">
        <v>271</v>
      </c>
      <c r="B11" s="71">
        <v>2000</v>
      </c>
    </row>
    <row r="12" spans="1:2" ht="15" thickBot="1" x14ac:dyDescent="0.4">
      <c r="A12" s="83">
        <v>45855</v>
      </c>
      <c r="B12" s="71">
        <v>2000</v>
      </c>
    </row>
    <row r="13" spans="1:2" ht="15" thickBot="1" x14ac:dyDescent="0.4">
      <c r="A13" s="74" t="s">
        <v>274</v>
      </c>
      <c r="B13" s="71">
        <v>1000</v>
      </c>
    </row>
    <row r="14" spans="1:2" ht="15" thickBot="1" x14ac:dyDescent="0.4">
      <c r="A14" s="83">
        <v>45859</v>
      </c>
      <c r="B14" s="71">
        <v>1000</v>
      </c>
    </row>
    <row r="15" spans="1:2" ht="15" thickBot="1" x14ac:dyDescent="0.4">
      <c r="A15" s="74" t="s">
        <v>279</v>
      </c>
      <c r="B15" s="71">
        <v>4000</v>
      </c>
    </row>
    <row r="16" spans="1:2" ht="15" thickBot="1" x14ac:dyDescent="0.4">
      <c r="A16" s="83">
        <v>45860</v>
      </c>
      <c r="B16" s="71">
        <v>4000</v>
      </c>
    </row>
    <row r="17" spans="1:2" ht="15" thickBot="1" x14ac:dyDescent="0.4">
      <c r="A17" s="74" t="s">
        <v>256</v>
      </c>
      <c r="B17" s="71">
        <v>3000</v>
      </c>
    </row>
    <row r="18" spans="1:2" ht="15" thickBot="1" x14ac:dyDescent="0.4">
      <c r="A18" s="83">
        <v>45842</v>
      </c>
      <c r="B18" s="71">
        <v>3000</v>
      </c>
    </row>
    <row r="19" spans="1:2" ht="15" thickBot="1" x14ac:dyDescent="0.4">
      <c r="A19" s="83">
        <v>45856</v>
      </c>
      <c r="B19" s="71">
        <v>3000</v>
      </c>
    </row>
    <row r="20" spans="1:2" ht="15" thickBot="1" x14ac:dyDescent="0.4">
      <c r="A20" s="74" t="s">
        <v>254</v>
      </c>
      <c r="B20" s="71">
        <v>3000</v>
      </c>
    </row>
    <row r="21" spans="1:2" ht="15" thickBot="1" x14ac:dyDescent="0.4">
      <c r="A21" s="83">
        <v>45842</v>
      </c>
      <c r="B21" s="71">
        <v>3000</v>
      </c>
    </row>
    <row r="22" spans="1:2" ht="15" thickBot="1" x14ac:dyDescent="0.4">
      <c r="A22" s="74" t="s">
        <v>253</v>
      </c>
      <c r="B22" s="71">
        <v>3000</v>
      </c>
    </row>
    <row r="23" spans="1:2" ht="15" thickBot="1" x14ac:dyDescent="0.4">
      <c r="A23" s="83">
        <v>45847</v>
      </c>
      <c r="B23" s="71">
        <v>3000</v>
      </c>
    </row>
    <row r="24" spans="1:2" ht="15" thickBot="1" x14ac:dyDescent="0.4">
      <c r="A24" s="74" t="s">
        <v>255</v>
      </c>
      <c r="B24" s="71">
        <v>3000</v>
      </c>
    </row>
    <row r="25" spans="1:2" ht="15" thickBot="1" x14ac:dyDescent="0.4">
      <c r="A25" s="83">
        <v>45842</v>
      </c>
      <c r="B25" s="71">
        <v>3000</v>
      </c>
    </row>
    <row r="26" spans="1:2" ht="15" thickBot="1" x14ac:dyDescent="0.4">
      <c r="A26" s="74" t="s">
        <v>258</v>
      </c>
      <c r="B26" s="71">
        <v>2000</v>
      </c>
    </row>
    <row r="27" spans="1:2" ht="15" thickBot="1" x14ac:dyDescent="0.4">
      <c r="A27" s="83">
        <v>45847</v>
      </c>
      <c r="B27" s="71">
        <v>2000</v>
      </c>
    </row>
    <row r="28" spans="1:2" ht="15" thickBot="1" x14ac:dyDescent="0.4">
      <c r="A28" s="74" t="s">
        <v>260</v>
      </c>
      <c r="B28" s="71">
        <v>3000</v>
      </c>
    </row>
    <row r="29" spans="1:2" ht="15" thickBot="1" x14ac:dyDescent="0.4">
      <c r="A29" s="83">
        <v>45849</v>
      </c>
      <c r="B29" s="71">
        <v>3000</v>
      </c>
    </row>
    <row r="30" spans="1:2" ht="15" thickBot="1" x14ac:dyDescent="0.4">
      <c r="A30" s="74" t="s">
        <v>263</v>
      </c>
      <c r="B30" s="71">
        <v>1000</v>
      </c>
    </row>
    <row r="31" spans="1:2" ht="15" thickBot="1" x14ac:dyDescent="0.4">
      <c r="A31" s="83">
        <v>45853</v>
      </c>
      <c r="B31" s="71">
        <v>1000</v>
      </c>
    </row>
    <row r="32" spans="1:2" ht="15" thickBot="1" x14ac:dyDescent="0.4">
      <c r="A32" s="74" t="s">
        <v>273</v>
      </c>
      <c r="B32" s="71">
        <v>1000</v>
      </c>
    </row>
    <row r="33" spans="1:2" ht="15" thickBot="1" x14ac:dyDescent="0.4">
      <c r="A33" s="83">
        <v>45862</v>
      </c>
      <c r="B33" s="71">
        <v>1000</v>
      </c>
    </row>
    <row r="34" spans="1:2" ht="15" thickBot="1" x14ac:dyDescent="0.4">
      <c r="A34" s="74" t="s">
        <v>276</v>
      </c>
      <c r="B34" s="71">
        <v>3000</v>
      </c>
    </row>
    <row r="35" spans="1:2" ht="15" thickBot="1" x14ac:dyDescent="0.4">
      <c r="A35" s="83">
        <v>45860</v>
      </c>
      <c r="B35" s="71">
        <v>3000</v>
      </c>
    </row>
    <row r="36" spans="1:2" ht="15" thickBot="1" x14ac:dyDescent="0.4">
      <c r="A36" s="74" t="s">
        <v>278</v>
      </c>
      <c r="B36" s="71">
        <v>6000</v>
      </c>
    </row>
    <row r="37" spans="1:2" ht="15" thickBot="1" x14ac:dyDescent="0.4">
      <c r="A37" s="83">
        <v>45860</v>
      </c>
      <c r="B37" s="71">
        <v>6000</v>
      </c>
    </row>
    <row r="38" spans="1:2" ht="15" thickBot="1" x14ac:dyDescent="0.4">
      <c r="A38" s="74" t="s">
        <v>280</v>
      </c>
      <c r="B38" s="71">
        <v>1000</v>
      </c>
    </row>
    <row r="39" spans="1:2" ht="15" thickBot="1" x14ac:dyDescent="0.4">
      <c r="A39" s="83">
        <v>45861</v>
      </c>
      <c r="B39" s="71">
        <v>1000</v>
      </c>
    </row>
    <row r="40" spans="1:2" ht="15" thickBot="1" x14ac:dyDescent="0.4">
      <c r="A40" s="75" t="s">
        <v>64</v>
      </c>
      <c r="B40" s="71">
        <v>4000</v>
      </c>
    </row>
    <row r="41" spans="1:2" ht="15" thickBot="1" x14ac:dyDescent="0.4">
      <c r="A41" s="74" t="s">
        <v>262</v>
      </c>
      <c r="B41" s="71">
        <v>4000</v>
      </c>
    </row>
    <row r="42" spans="1:2" ht="15" thickBot="1" x14ac:dyDescent="0.4">
      <c r="A42" s="83">
        <v>45852</v>
      </c>
      <c r="B42" s="71">
        <v>4000</v>
      </c>
    </row>
    <row r="43" spans="1:2" ht="15" thickBot="1" x14ac:dyDescent="0.4">
      <c r="A43" s="74" t="s">
        <v>257</v>
      </c>
      <c r="B43" s="71">
        <v>3000</v>
      </c>
    </row>
    <row r="44" spans="1:2" ht="15" thickBot="1" x14ac:dyDescent="0.4">
      <c r="A44" s="83">
        <v>45846</v>
      </c>
      <c r="B44" s="71">
        <v>3000</v>
      </c>
    </row>
    <row r="45" spans="1:2" ht="15" thickBot="1" x14ac:dyDescent="0.4">
      <c r="A45" s="83">
        <v>45855</v>
      </c>
      <c r="B45" s="71">
        <v>3000</v>
      </c>
    </row>
    <row r="46" spans="1:2" ht="15" thickBot="1" x14ac:dyDescent="0.4">
      <c r="A46" s="74" t="s">
        <v>274</v>
      </c>
      <c r="B46" s="71">
        <v>2000</v>
      </c>
    </row>
    <row r="47" spans="1:2" ht="15" thickBot="1" x14ac:dyDescent="0.4">
      <c r="A47" s="83">
        <v>45859</v>
      </c>
      <c r="B47" s="71">
        <v>2000</v>
      </c>
    </row>
    <row r="48" spans="1:2" ht="15" thickBot="1" x14ac:dyDescent="0.4">
      <c r="A48" s="74" t="s">
        <v>279</v>
      </c>
      <c r="B48" s="71">
        <v>2000</v>
      </c>
    </row>
    <row r="49" spans="1:2" ht="15" thickBot="1" x14ac:dyDescent="0.4">
      <c r="A49" s="83">
        <v>45860</v>
      </c>
      <c r="B49" s="71">
        <v>2000</v>
      </c>
    </row>
    <row r="50" spans="1:2" ht="15" thickBot="1" x14ac:dyDescent="0.4">
      <c r="A50" s="74" t="s">
        <v>256</v>
      </c>
      <c r="B50" s="71">
        <v>3000</v>
      </c>
    </row>
    <row r="51" spans="1:2" ht="15" thickBot="1" x14ac:dyDescent="0.4">
      <c r="A51" s="83">
        <v>45842</v>
      </c>
      <c r="B51" s="71">
        <v>3000</v>
      </c>
    </row>
    <row r="52" spans="1:2" ht="15" thickBot="1" x14ac:dyDescent="0.4">
      <c r="A52" s="74" t="s">
        <v>253</v>
      </c>
      <c r="B52" s="71">
        <v>100</v>
      </c>
    </row>
    <row r="53" spans="1:2" ht="15" thickBot="1" x14ac:dyDescent="0.4">
      <c r="A53" s="83">
        <v>45842</v>
      </c>
      <c r="B53" s="71">
        <v>100</v>
      </c>
    </row>
    <row r="54" spans="1:2" ht="15" thickBot="1" x14ac:dyDescent="0.4">
      <c r="A54" s="74" t="s">
        <v>255</v>
      </c>
      <c r="B54" s="71">
        <v>2000</v>
      </c>
    </row>
    <row r="55" spans="1:2" ht="15" thickBot="1" x14ac:dyDescent="0.4">
      <c r="A55" s="83">
        <v>45842</v>
      </c>
      <c r="B55" s="71">
        <v>2000</v>
      </c>
    </row>
    <row r="56" spans="1:2" ht="15" thickBot="1" x14ac:dyDescent="0.4">
      <c r="A56" s="74" t="s">
        <v>258</v>
      </c>
      <c r="B56" s="71">
        <v>2000</v>
      </c>
    </row>
    <row r="57" spans="1:2" ht="15" thickBot="1" x14ac:dyDescent="0.4">
      <c r="A57" s="83">
        <v>45847</v>
      </c>
      <c r="B57" s="71">
        <v>2000</v>
      </c>
    </row>
    <row r="58" spans="1:2" ht="15" thickBot="1" x14ac:dyDescent="0.4">
      <c r="A58" s="74" t="s">
        <v>260</v>
      </c>
      <c r="B58" s="71">
        <v>3000</v>
      </c>
    </row>
    <row r="59" spans="1:2" ht="15" thickBot="1" x14ac:dyDescent="0.4">
      <c r="A59" s="83">
        <v>45849</v>
      </c>
      <c r="B59" s="71">
        <v>3000</v>
      </c>
    </row>
    <row r="60" spans="1:2" ht="15" thickBot="1" x14ac:dyDescent="0.4">
      <c r="A60" s="74" t="s">
        <v>273</v>
      </c>
      <c r="B60" s="71">
        <v>2000</v>
      </c>
    </row>
    <row r="61" spans="1:2" ht="15" thickBot="1" x14ac:dyDescent="0.4">
      <c r="A61" s="83">
        <v>45862</v>
      </c>
      <c r="B61" s="71">
        <v>2000</v>
      </c>
    </row>
    <row r="62" spans="1:2" ht="15" thickBot="1" x14ac:dyDescent="0.4">
      <c r="A62" s="74" t="s">
        <v>276</v>
      </c>
      <c r="B62" s="71">
        <v>3000</v>
      </c>
    </row>
    <row r="63" spans="1:2" ht="15" thickBot="1" x14ac:dyDescent="0.4">
      <c r="A63" s="83">
        <v>45860</v>
      </c>
      <c r="B63" s="71">
        <v>3000</v>
      </c>
    </row>
    <row r="64" spans="1:2" ht="15" thickBot="1" x14ac:dyDescent="0.4">
      <c r="A64" s="74" t="s">
        <v>278</v>
      </c>
      <c r="B64" s="71">
        <v>2000</v>
      </c>
    </row>
    <row r="65" spans="1:2" ht="15" thickBot="1" x14ac:dyDescent="0.4">
      <c r="A65" s="83">
        <v>45861</v>
      </c>
      <c r="B65" s="71">
        <v>2000</v>
      </c>
    </row>
    <row r="66" spans="1:2" ht="15" thickBot="1" x14ac:dyDescent="0.4">
      <c r="A66" s="75" t="s">
        <v>210</v>
      </c>
      <c r="B66" s="71">
        <v>1000</v>
      </c>
    </row>
    <row r="67" spans="1:2" ht="15" thickBot="1" x14ac:dyDescent="0.4">
      <c r="A67" s="74" t="s">
        <v>254</v>
      </c>
      <c r="B67" s="71">
        <v>1000</v>
      </c>
    </row>
    <row r="68" spans="1:2" ht="15" thickBot="1" x14ac:dyDescent="0.4">
      <c r="A68" s="83">
        <v>45842</v>
      </c>
      <c r="B68" s="71">
        <v>1000</v>
      </c>
    </row>
    <row r="69" spans="1:2" ht="15" thickBot="1" x14ac:dyDescent="0.4">
      <c r="A69" s="75" t="s">
        <v>57</v>
      </c>
      <c r="B69" s="71">
        <v>500</v>
      </c>
    </row>
    <row r="70" spans="1:2" ht="15" thickBot="1" x14ac:dyDescent="0.4">
      <c r="A70" s="74" t="s">
        <v>217</v>
      </c>
      <c r="B70" s="71">
        <v>200</v>
      </c>
    </row>
    <row r="71" spans="1:2" ht="15" thickBot="1" x14ac:dyDescent="0.4">
      <c r="A71" s="83">
        <v>45849</v>
      </c>
      <c r="B71" s="71">
        <v>200</v>
      </c>
    </row>
    <row r="72" spans="1:2" ht="15" thickBot="1" x14ac:dyDescent="0.4">
      <c r="A72" s="74" t="s">
        <v>270</v>
      </c>
      <c r="B72" s="71">
        <v>200</v>
      </c>
    </row>
    <row r="73" spans="1:2" ht="15" thickBot="1" x14ac:dyDescent="0.4">
      <c r="A73" s="83">
        <v>45855</v>
      </c>
      <c r="B73" s="71">
        <v>200</v>
      </c>
    </row>
    <row r="74" spans="1:2" ht="15" thickBot="1" x14ac:dyDescent="0.4">
      <c r="A74" s="74" t="s">
        <v>263</v>
      </c>
      <c r="B74" s="71">
        <v>100</v>
      </c>
    </row>
    <row r="75" spans="1:2" ht="15" thickBot="1" x14ac:dyDescent="0.4">
      <c r="A75" s="83">
        <v>45853</v>
      </c>
      <c r="B75" s="71">
        <v>100</v>
      </c>
    </row>
    <row r="76" spans="1:2" ht="15" thickBot="1" x14ac:dyDescent="0.4">
      <c r="A76" s="74" t="s">
        <v>264</v>
      </c>
      <c r="B76" s="71">
        <v>500</v>
      </c>
    </row>
    <row r="77" spans="1:2" ht="15" thickBot="1" x14ac:dyDescent="0.4">
      <c r="A77" s="83">
        <v>45853</v>
      </c>
      <c r="B77" s="71">
        <v>500</v>
      </c>
    </row>
    <row r="78" spans="1:2" ht="15" thickBot="1" x14ac:dyDescent="0.4">
      <c r="A78" s="74" t="s">
        <v>265</v>
      </c>
      <c r="B78" s="71">
        <v>200</v>
      </c>
    </row>
    <row r="79" spans="1:2" ht="15" thickBot="1" x14ac:dyDescent="0.4">
      <c r="A79" s="83">
        <v>45853</v>
      </c>
      <c r="B79" s="71">
        <v>200</v>
      </c>
    </row>
    <row r="80" spans="1:2" ht="15" thickBot="1" x14ac:dyDescent="0.4">
      <c r="A80" s="74" t="s">
        <v>266</v>
      </c>
      <c r="B80" s="71">
        <v>500</v>
      </c>
    </row>
    <row r="81" spans="1:2" ht="15" thickBot="1" x14ac:dyDescent="0.4">
      <c r="A81" s="83">
        <v>45853</v>
      </c>
      <c r="B81" s="71">
        <v>500</v>
      </c>
    </row>
    <row r="82" spans="1:2" ht="15" thickBot="1" x14ac:dyDescent="0.4">
      <c r="A82" s="74" t="s">
        <v>268</v>
      </c>
      <c r="B82" s="71">
        <v>50</v>
      </c>
    </row>
    <row r="83" spans="1:2" ht="15" thickBot="1" x14ac:dyDescent="0.4">
      <c r="A83" s="83">
        <v>45854</v>
      </c>
      <c r="B83" s="71">
        <v>50</v>
      </c>
    </row>
    <row r="84" spans="1:2" ht="15" thickBot="1" x14ac:dyDescent="0.4">
      <c r="A84" s="74" t="s">
        <v>269</v>
      </c>
      <c r="B84" s="71">
        <v>10</v>
      </c>
    </row>
    <row r="85" spans="1:2" ht="15" thickBot="1" x14ac:dyDescent="0.4">
      <c r="A85" s="83">
        <v>45854</v>
      </c>
      <c r="B85" s="71">
        <v>10</v>
      </c>
    </row>
    <row r="86" spans="1:2" ht="15" thickBot="1" x14ac:dyDescent="0.4">
      <c r="A86" s="74" t="s">
        <v>277</v>
      </c>
      <c r="B86" s="71">
        <v>50</v>
      </c>
    </row>
    <row r="87" spans="1:2" ht="15" thickBot="1" x14ac:dyDescent="0.4">
      <c r="A87" s="83">
        <v>45860</v>
      </c>
      <c r="B87" s="71">
        <v>50</v>
      </c>
    </row>
    <row r="88" spans="1:2" ht="15" thickBot="1" x14ac:dyDescent="0.4">
      <c r="A88" s="74" t="s">
        <v>281</v>
      </c>
      <c r="B88" s="71">
        <v>100</v>
      </c>
    </row>
    <row r="89" spans="1:2" ht="15" thickBot="1" x14ac:dyDescent="0.4">
      <c r="A89" s="83">
        <v>45861</v>
      </c>
      <c r="B89" s="71">
        <v>100</v>
      </c>
    </row>
    <row r="90" spans="1:2" ht="15" thickBot="1" x14ac:dyDescent="0.4">
      <c r="A90" s="75" t="s">
        <v>49</v>
      </c>
      <c r="B90" s="71">
        <v>500</v>
      </c>
    </row>
    <row r="91" spans="1:2" ht="15" thickBot="1" x14ac:dyDescent="0.4">
      <c r="A91" s="74" t="s">
        <v>275</v>
      </c>
      <c r="B91" s="71">
        <v>400</v>
      </c>
    </row>
    <row r="92" spans="1:2" ht="15" thickBot="1" x14ac:dyDescent="0.4">
      <c r="A92" s="83">
        <v>45860</v>
      </c>
      <c r="B92" s="71">
        <v>400</v>
      </c>
    </row>
    <row r="93" spans="1:2" ht="15" thickBot="1" x14ac:dyDescent="0.4">
      <c r="A93" s="74" t="s">
        <v>262</v>
      </c>
      <c r="B93" s="71">
        <v>500</v>
      </c>
    </row>
    <row r="94" spans="1:2" ht="15" thickBot="1" x14ac:dyDescent="0.4">
      <c r="A94" s="83">
        <v>45852</v>
      </c>
      <c r="B94" s="71">
        <v>500</v>
      </c>
    </row>
    <row r="95" spans="1:2" ht="15" thickBot="1" x14ac:dyDescent="0.4">
      <c r="A95" s="74" t="s">
        <v>271</v>
      </c>
      <c r="B95" s="71">
        <v>400</v>
      </c>
    </row>
    <row r="96" spans="1:2" ht="15" thickBot="1" x14ac:dyDescent="0.4">
      <c r="A96" s="83">
        <v>45855</v>
      </c>
      <c r="B96" s="71">
        <v>400</v>
      </c>
    </row>
    <row r="97" spans="1:2" ht="15" thickBot="1" x14ac:dyDescent="0.4">
      <c r="A97" s="74" t="s">
        <v>274</v>
      </c>
      <c r="B97" s="71">
        <v>300</v>
      </c>
    </row>
    <row r="98" spans="1:2" ht="15" thickBot="1" x14ac:dyDescent="0.4">
      <c r="A98" s="83">
        <v>45859</v>
      </c>
      <c r="B98" s="71">
        <v>300</v>
      </c>
    </row>
    <row r="99" spans="1:2" ht="15" thickBot="1" x14ac:dyDescent="0.4">
      <c r="A99" s="74" t="s">
        <v>279</v>
      </c>
      <c r="B99" s="71">
        <v>500</v>
      </c>
    </row>
    <row r="100" spans="1:2" ht="15" thickBot="1" x14ac:dyDescent="0.4">
      <c r="A100" s="83">
        <v>45860</v>
      </c>
      <c r="B100" s="71">
        <v>500</v>
      </c>
    </row>
    <row r="101" spans="1:2" ht="15" thickBot="1" x14ac:dyDescent="0.4">
      <c r="A101" s="74" t="s">
        <v>254</v>
      </c>
      <c r="B101" s="71">
        <v>300</v>
      </c>
    </row>
    <row r="102" spans="1:2" ht="15" thickBot="1" x14ac:dyDescent="0.4">
      <c r="A102" s="83">
        <v>45842</v>
      </c>
      <c r="B102" s="71">
        <v>300</v>
      </c>
    </row>
    <row r="103" spans="1:2" ht="15" thickBot="1" x14ac:dyDescent="0.4">
      <c r="A103" s="74" t="s">
        <v>253</v>
      </c>
      <c r="B103" s="71">
        <v>300</v>
      </c>
    </row>
    <row r="104" spans="1:2" ht="15" thickBot="1" x14ac:dyDescent="0.4">
      <c r="A104" s="83">
        <v>45859</v>
      </c>
      <c r="B104" s="71">
        <v>300</v>
      </c>
    </row>
    <row r="105" spans="1:2" ht="15" thickBot="1" x14ac:dyDescent="0.4">
      <c r="A105" s="74" t="s">
        <v>255</v>
      </c>
      <c r="B105" s="71">
        <v>500</v>
      </c>
    </row>
    <row r="106" spans="1:2" ht="15" thickBot="1" x14ac:dyDescent="0.4">
      <c r="A106" s="83">
        <v>45842</v>
      </c>
      <c r="B106" s="71">
        <v>500</v>
      </c>
    </row>
    <row r="107" spans="1:2" ht="15" thickBot="1" x14ac:dyDescent="0.4">
      <c r="A107" s="74" t="s">
        <v>272</v>
      </c>
      <c r="B107" s="71">
        <v>300</v>
      </c>
    </row>
    <row r="108" spans="1:2" ht="15" thickBot="1" x14ac:dyDescent="0.4">
      <c r="A108" s="83">
        <v>45856</v>
      </c>
      <c r="B108" s="71">
        <v>300</v>
      </c>
    </row>
    <row r="109" spans="1:2" ht="15" thickBot="1" x14ac:dyDescent="0.4">
      <c r="A109" s="74" t="s">
        <v>258</v>
      </c>
      <c r="B109" s="71">
        <v>150</v>
      </c>
    </row>
    <row r="110" spans="1:2" ht="15" thickBot="1" x14ac:dyDescent="0.4">
      <c r="A110" s="83">
        <v>45847</v>
      </c>
      <c r="B110" s="71">
        <v>150</v>
      </c>
    </row>
    <row r="111" spans="1:2" ht="15" thickBot="1" x14ac:dyDescent="0.4">
      <c r="A111" s="74" t="s">
        <v>259</v>
      </c>
      <c r="B111" s="71">
        <v>300</v>
      </c>
    </row>
    <row r="112" spans="1:2" ht="15" thickBot="1" x14ac:dyDescent="0.4">
      <c r="A112" s="83">
        <v>45849</v>
      </c>
      <c r="B112" s="71">
        <v>300</v>
      </c>
    </row>
    <row r="113" spans="1:2" ht="15" thickBot="1" x14ac:dyDescent="0.4">
      <c r="A113" s="74" t="s">
        <v>260</v>
      </c>
      <c r="B113" s="71">
        <v>400</v>
      </c>
    </row>
    <row r="114" spans="1:2" ht="15" thickBot="1" x14ac:dyDescent="0.4">
      <c r="A114" s="83">
        <v>45849</v>
      </c>
      <c r="B114" s="71">
        <v>400</v>
      </c>
    </row>
    <row r="115" spans="1:2" ht="15" thickBot="1" x14ac:dyDescent="0.4">
      <c r="A115" s="74" t="s">
        <v>273</v>
      </c>
      <c r="B115" s="71">
        <v>500</v>
      </c>
    </row>
    <row r="116" spans="1:2" ht="15" thickBot="1" x14ac:dyDescent="0.4">
      <c r="A116" s="83">
        <v>45859</v>
      </c>
      <c r="B116" s="71">
        <v>500</v>
      </c>
    </row>
    <row r="117" spans="1:2" ht="15" thickBot="1" x14ac:dyDescent="0.4">
      <c r="A117" s="74" t="s">
        <v>276</v>
      </c>
      <c r="B117" s="71">
        <v>500</v>
      </c>
    </row>
    <row r="118" spans="1:2" ht="15" thickBot="1" x14ac:dyDescent="0.4">
      <c r="A118" s="83">
        <v>45860</v>
      </c>
      <c r="B118" s="71">
        <v>500</v>
      </c>
    </row>
    <row r="119" spans="1:2" ht="15" thickBot="1" x14ac:dyDescent="0.4">
      <c r="A119" s="74" t="s">
        <v>278</v>
      </c>
      <c r="B119" s="71">
        <v>500</v>
      </c>
    </row>
    <row r="120" spans="1:2" ht="15" thickBot="1" x14ac:dyDescent="0.4">
      <c r="A120" s="83">
        <v>45860</v>
      </c>
      <c r="B120" s="71">
        <v>500</v>
      </c>
    </row>
    <row r="121" spans="1:2" ht="15" thickBot="1" x14ac:dyDescent="0.4">
      <c r="A121" s="75" t="s">
        <v>215</v>
      </c>
      <c r="B121" s="71">
        <v>500</v>
      </c>
    </row>
    <row r="122" spans="1:2" ht="15" thickBot="1" x14ac:dyDescent="0.4">
      <c r="A122" s="74" t="s">
        <v>275</v>
      </c>
      <c r="B122" s="71">
        <v>500</v>
      </c>
    </row>
    <row r="123" spans="1:2" ht="15" thickBot="1" x14ac:dyDescent="0.4">
      <c r="A123" s="83">
        <v>45860</v>
      </c>
      <c r="B123" s="71">
        <v>500</v>
      </c>
    </row>
    <row r="124" spans="1:2" ht="15" thickBot="1" x14ac:dyDescent="0.4">
      <c r="A124" s="74" t="s">
        <v>262</v>
      </c>
      <c r="B124" s="71">
        <v>500</v>
      </c>
    </row>
    <row r="125" spans="1:2" ht="15" thickBot="1" x14ac:dyDescent="0.4">
      <c r="A125" s="83">
        <v>45852</v>
      </c>
      <c r="B125" s="71">
        <v>500</v>
      </c>
    </row>
    <row r="126" spans="1:2" ht="15" thickBot="1" x14ac:dyDescent="0.4">
      <c r="A126" s="74" t="s">
        <v>274</v>
      </c>
      <c r="B126" s="71">
        <v>500</v>
      </c>
    </row>
    <row r="127" spans="1:2" ht="15" thickBot="1" x14ac:dyDescent="0.4">
      <c r="A127" s="83">
        <v>45859</v>
      </c>
      <c r="B127" s="71">
        <v>500</v>
      </c>
    </row>
    <row r="128" spans="1:2" ht="15" thickBot="1" x14ac:dyDescent="0.4">
      <c r="A128" s="74" t="s">
        <v>279</v>
      </c>
      <c r="B128" s="71">
        <v>500</v>
      </c>
    </row>
    <row r="129" spans="1:2" ht="15" thickBot="1" x14ac:dyDescent="0.4">
      <c r="A129" s="83">
        <v>45860</v>
      </c>
      <c r="B129" s="71">
        <v>500</v>
      </c>
    </row>
    <row r="130" spans="1:2" ht="15" thickBot="1" x14ac:dyDescent="0.4">
      <c r="A130" s="74" t="s">
        <v>256</v>
      </c>
      <c r="B130" s="71">
        <v>500</v>
      </c>
    </row>
    <row r="131" spans="1:2" ht="15" thickBot="1" x14ac:dyDescent="0.4">
      <c r="A131" s="83">
        <v>45842</v>
      </c>
      <c r="B131" s="71">
        <v>500</v>
      </c>
    </row>
    <row r="132" spans="1:2" ht="15" thickBot="1" x14ac:dyDescent="0.4">
      <c r="A132" s="74" t="s">
        <v>254</v>
      </c>
      <c r="B132" s="71">
        <v>500</v>
      </c>
    </row>
    <row r="133" spans="1:2" ht="15" thickBot="1" x14ac:dyDescent="0.4">
      <c r="A133" s="83">
        <v>45842</v>
      </c>
      <c r="B133" s="71">
        <v>500</v>
      </c>
    </row>
    <row r="134" spans="1:2" ht="15" thickBot="1" x14ac:dyDescent="0.4">
      <c r="A134" s="74" t="s">
        <v>253</v>
      </c>
      <c r="B134" s="71">
        <v>400</v>
      </c>
    </row>
    <row r="135" spans="1:2" ht="15" thickBot="1" x14ac:dyDescent="0.4">
      <c r="A135" s="83">
        <v>45842</v>
      </c>
      <c r="B135" s="71">
        <v>400</v>
      </c>
    </row>
    <row r="136" spans="1:2" ht="15" thickBot="1" x14ac:dyDescent="0.4">
      <c r="A136" s="74" t="s">
        <v>272</v>
      </c>
      <c r="B136" s="71">
        <v>300</v>
      </c>
    </row>
    <row r="137" spans="1:2" ht="15" thickBot="1" x14ac:dyDescent="0.4">
      <c r="A137" s="83">
        <v>45856</v>
      </c>
      <c r="B137" s="71">
        <v>300</v>
      </c>
    </row>
    <row r="138" spans="1:2" ht="15" thickBot="1" x14ac:dyDescent="0.4">
      <c r="A138" s="74" t="s">
        <v>258</v>
      </c>
      <c r="B138" s="71">
        <v>100</v>
      </c>
    </row>
    <row r="139" spans="1:2" ht="15" thickBot="1" x14ac:dyDescent="0.4">
      <c r="A139" s="83">
        <v>45847</v>
      </c>
      <c r="B139" s="71">
        <v>100</v>
      </c>
    </row>
    <row r="140" spans="1:2" ht="15" thickBot="1" x14ac:dyDescent="0.4">
      <c r="A140" s="74" t="s">
        <v>259</v>
      </c>
      <c r="B140" s="71">
        <v>500</v>
      </c>
    </row>
    <row r="141" spans="1:2" ht="15" thickBot="1" x14ac:dyDescent="0.4">
      <c r="A141" s="83">
        <v>45849</v>
      </c>
      <c r="B141" s="71">
        <v>500</v>
      </c>
    </row>
    <row r="142" spans="1:2" ht="15" thickBot="1" x14ac:dyDescent="0.4">
      <c r="A142" s="74" t="s">
        <v>260</v>
      </c>
      <c r="B142" s="71">
        <v>500</v>
      </c>
    </row>
    <row r="143" spans="1:2" ht="15" thickBot="1" x14ac:dyDescent="0.4">
      <c r="A143" s="83">
        <v>45849</v>
      </c>
      <c r="B143" s="71">
        <v>500</v>
      </c>
    </row>
    <row r="144" spans="1:2" ht="15" thickBot="1" x14ac:dyDescent="0.4">
      <c r="A144" s="74" t="s">
        <v>273</v>
      </c>
      <c r="B144" s="71">
        <v>500</v>
      </c>
    </row>
    <row r="145" spans="1:2" ht="15" thickBot="1" x14ac:dyDescent="0.4">
      <c r="A145" s="83">
        <v>45862</v>
      </c>
      <c r="B145" s="71">
        <v>500</v>
      </c>
    </row>
    <row r="146" spans="1:2" ht="15" thickBot="1" x14ac:dyDescent="0.4">
      <c r="A146" s="74" t="s">
        <v>278</v>
      </c>
      <c r="B146" s="71">
        <v>500</v>
      </c>
    </row>
    <row r="147" spans="1:2" ht="15" thickBot="1" x14ac:dyDescent="0.4">
      <c r="A147" s="83">
        <v>45860</v>
      </c>
      <c r="B147" s="71">
        <v>500</v>
      </c>
    </row>
    <row r="148" spans="1:2" ht="15" thickBot="1" x14ac:dyDescent="0.4">
      <c r="A148" s="75" t="s">
        <v>59</v>
      </c>
      <c r="B148" s="71">
        <v>500</v>
      </c>
    </row>
    <row r="149" spans="1:2" ht="15" thickBot="1" x14ac:dyDescent="0.4">
      <c r="A149" s="74" t="s">
        <v>257</v>
      </c>
      <c r="B149" s="71">
        <v>500</v>
      </c>
    </row>
    <row r="150" spans="1:2" ht="15" thickBot="1" x14ac:dyDescent="0.4">
      <c r="A150" s="83">
        <v>45846</v>
      </c>
      <c r="B150" s="71">
        <v>500</v>
      </c>
    </row>
    <row r="151" spans="1:2" ht="15" thickBot="1" x14ac:dyDescent="0.4">
      <c r="A151" s="74" t="s">
        <v>256</v>
      </c>
      <c r="B151" s="71">
        <v>500</v>
      </c>
    </row>
    <row r="152" spans="1:2" ht="15" thickBot="1" x14ac:dyDescent="0.4">
      <c r="A152" s="83">
        <v>45842</v>
      </c>
      <c r="B152" s="71">
        <v>500</v>
      </c>
    </row>
    <row r="153" spans="1:2" ht="15" thickBot="1" x14ac:dyDescent="0.4">
      <c r="A153" s="74" t="s">
        <v>254</v>
      </c>
      <c r="B153" s="71">
        <v>500</v>
      </c>
    </row>
    <row r="154" spans="1:2" ht="15" thickBot="1" x14ac:dyDescent="0.4">
      <c r="A154" s="83">
        <v>45842</v>
      </c>
      <c r="B154" s="71">
        <v>500</v>
      </c>
    </row>
    <row r="155" spans="1:2" ht="15" thickBot="1" x14ac:dyDescent="0.4">
      <c r="A155" s="74" t="s">
        <v>253</v>
      </c>
      <c r="B155" s="71">
        <v>500</v>
      </c>
    </row>
    <row r="156" spans="1:2" ht="15" thickBot="1" x14ac:dyDescent="0.4">
      <c r="A156" s="83">
        <v>45842</v>
      </c>
      <c r="B156" s="71">
        <v>500</v>
      </c>
    </row>
    <row r="157" spans="1:2" ht="15" thickBot="1" x14ac:dyDescent="0.4">
      <c r="A157" s="74" t="s">
        <v>255</v>
      </c>
      <c r="B157" s="71">
        <v>500</v>
      </c>
    </row>
    <row r="158" spans="1:2" ht="15" thickBot="1" x14ac:dyDescent="0.4">
      <c r="A158" s="83">
        <v>45842</v>
      </c>
      <c r="B158" s="71">
        <v>500</v>
      </c>
    </row>
    <row r="159" spans="1:2" ht="15" thickBot="1" x14ac:dyDescent="0.4">
      <c r="A159" s="74" t="s">
        <v>258</v>
      </c>
      <c r="B159" s="71">
        <v>500</v>
      </c>
    </row>
    <row r="160" spans="1:2" ht="15" thickBot="1" x14ac:dyDescent="0.4">
      <c r="A160" s="83">
        <v>45847</v>
      </c>
      <c r="B160" s="71">
        <v>500</v>
      </c>
    </row>
    <row r="161" spans="1:2" ht="15" thickBot="1" x14ac:dyDescent="0.4">
      <c r="A161" s="74" t="s">
        <v>259</v>
      </c>
      <c r="B161" s="71">
        <v>500</v>
      </c>
    </row>
    <row r="162" spans="1:2" ht="15" thickBot="1" x14ac:dyDescent="0.4">
      <c r="A162" s="83">
        <v>45849</v>
      </c>
      <c r="B162" s="71">
        <v>500</v>
      </c>
    </row>
    <row r="163" spans="1:2" ht="15" thickBot="1" x14ac:dyDescent="0.4">
      <c r="A163" s="74" t="s">
        <v>260</v>
      </c>
      <c r="B163" s="71">
        <v>500</v>
      </c>
    </row>
    <row r="164" spans="1:2" ht="15" thickBot="1" x14ac:dyDescent="0.4">
      <c r="A164" s="83">
        <v>45849</v>
      </c>
      <c r="B164" s="71">
        <v>500</v>
      </c>
    </row>
    <row r="165" spans="1:2" ht="15" thickBot="1" x14ac:dyDescent="0.4">
      <c r="A165" s="75" t="s">
        <v>48</v>
      </c>
      <c r="B165" s="71">
        <v>500</v>
      </c>
    </row>
    <row r="166" spans="1:2" ht="15" thickBot="1" x14ac:dyDescent="0.4">
      <c r="A166" s="74" t="s">
        <v>275</v>
      </c>
      <c r="B166" s="71">
        <v>500</v>
      </c>
    </row>
    <row r="167" spans="1:2" ht="15" thickBot="1" x14ac:dyDescent="0.4">
      <c r="A167" s="83">
        <v>45860</v>
      </c>
      <c r="B167" s="71">
        <v>500</v>
      </c>
    </row>
    <row r="168" spans="1:2" ht="15" thickBot="1" x14ac:dyDescent="0.4">
      <c r="A168" s="74" t="s">
        <v>262</v>
      </c>
      <c r="B168" s="71">
        <v>500</v>
      </c>
    </row>
    <row r="169" spans="1:2" ht="15" thickBot="1" x14ac:dyDescent="0.4">
      <c r="A169" s="83">
        <v>45852</v>
      </c>
      <c r="B169" s="71">
        <v>500</v>
      </c>
    </row>
    <row r="170" spans="1:2" ht="15" thickBot="1" x14ac:dyDescent="0.4">
      <c r="A170" s="74" t="s">
        <v>257</v>
      </c>
      <c r="B170" s="71">
        <v>500</v>
      </c>
    </row>
    <row r="171" spans="1:2" ht="15" thickBot="1" x14ac:dyDescent="0.4">
      <c r="A171" s="83">
        <v>45846</v>
      </c>
      <c r="B171" s="71">
        <v>500</v>
      </c>
    </row>
    <row r="172" spans="1:2" ht="15" thickBot="1" x14ac:dyDescent="0.4">
      <c r="A172" s="83">
        <v>45855</v>
      </c>
      <c r="B172" s="71">
        <v>500</v>
      </c>
    </row>
    <row r="173" spans="1:2" ht="15" thickBot="1" x14ac:dyDescent="0.4">
      <c r="A173" s="74" t="s">
        <v>271</v>
      </c>
      <c r="B173" s="71">
        <v>500</v>
      </c>
    </row>
    <row r="174" spans="1:2" ht="15" thickBot="1" x14ac:dyDescent="0.4">
      <c r="A174" s="83">
        <v>45855</v>
      </c>
      <c r="B174" s="71">
        <v>500</v>
      </c>
    </row>
    <row r="175" spans="1:2" ht="15" thickBot="1" x14ac:dyDescent="0.4">
      <c r="A175" s="74" t="s">
        <v>254</v>
      </c>
      <c r="B175" s="71">
        <v>500</v>
      </c>
    </row>
    <row r="176" spans="1:2" ht="15" thickBot="1" x14ac:dyDescent="0.4">
      <c r="A176" s="83">
        <v>45842</v>
      </c>
      <c r="B176" s="71">
        <v>500</v>
      </c>
    </row>
    <row r="177" spans="1:2" ht="15" thickBot="1" x14ac:dyDescent="0.4">
      <c r="A177" s="74" t="s">
        <v>253</v>
      </c>
      <c r="B177" s="71">
        <v>500</v>
      </c>
    </row>
    <row r="178" spans="1:2" ht="15" thickBot="1" x14ac:dyDescent="0.4">
      <c r="A178" s="83">
        <v>45842</v>
      </c>
      <c r="B178" s="71">
        <v>500</v>
      </c>
    </row>
    <row r="179" spans="1:2" ht="15" thickBot="1" x14ac:dyDescent="0.4">
      <c r="A179" s="74" t="s">
        <v>260</v>
      </c>
      <c r="B179" s="71">
        <v>500</v>
      </c>
    </row>
    <row r="180" spans="1:2" ht="15" thickBot="1" x14ac:dyDescent="0.4">
      <c r="A180" s="83">
        <v>45849</v>
      </c>
      <c r="B180" s="71">
        <v>500</v>
      </c>
    </row>
    <row r="181" spans="1:2" ht="15" thickBot="1" x14ac:dyDescent="0.4">
      <c r="A181" s="75" t="s">
        <v>54</v>
      </c>
      <c r="B181" s="71">
        <v>500</v>
      </c>
    </row>
    <row r="182" spans="1:2" ht="15" thickBot="1" x14ac:dyDescent="0.4">
      <c r="A182" s="74" t="s">
        <v>217</v>
      </c>
      <c r="B182" s="71">
        <v>200</v>
      </c>
    </row>
    <row r="183" spans="1:2" ht="15" thickBot="1" x14ac:dyDescent="0.4">
      <c r="A183" s="83">
        <v>45849</v>
      </c>
      <c r="B183" s="71">
        <v>200</v>
      </c>
    </row>
    <row r="184" spans="1:2" ht="15" thickBot="1" x14ac:dyDescent="0.4">
      <c r="A184" s="74" t="s">
        <v>270</v>
      </c>
      <c r="B184" s="71">
        <v>200</v>
      </c>
    </row>
    <row r="185" spans="1:2" ht="15" thickBot="1" x14ac:dyDescent="0.4">
      <c r="A185" s="83">
        <v>45855</v>
      </c>
      <c r="B185" s="71">
        <v>200</v>
      </c>
    </row>
    <row r="186" spans="1:2" ht="15" thickBot="1" x14ac:dyDescent="0.4">
      <c r="A186" s="74" t="s">
        <v>261</v>
      </c>
      <c r="B186" s="71">
        <v>300</v>
      </c>
    </row>
    <row r="187" spans="1:2" ht="15" thickBot="1" x14ac:dyDescent="0.4">
      <c r="A187" s="83">
        <v>45852</v>
      </c>
      <c r="B187" s="71">
        <v>300</v>
      </c>
    </row>
    <row r="188" spans="1:2" ht="15" thickBot="1" x14ac:dyDescent="0.4">
      <c r="A188" s="74" t="s">
        <v>263</v>
      </c>
      <c r="B188" s="71">
        <v>200</v>
      </c>
    </row>
    <row r="189" spans="1:2" ht="15" thickBot="1" x14ac:dyDescent="0.4">
      <c r="A189" s="83">
        <v>45853</v>
      </c>
      <c r="B189" s="71">
        <v>200</v>
      </c>
    </row>
    <row r="190" spans="1:2" ht="15" thickBot="1" x14ac:dyDescent="0.4">
      <c r="A190" s="74" t="s">
        <v>264</v>
      </c>
      <c r="B190" s="71">
        <v>500</v>
      </c>
    </row>
    <row r="191" spans="1:2" ht="15" thickBot="1" x14ac:dyDescent="0.4">
      <c r="A191" s="83">
        <v>45853</v>
      </c>
      <c r="B191" s="71">
        <v>500</v>
      </c>
    </row>
    <row r="192" spans="1:2" ht="15" thickBot="1" x14ac:dyDescent="0.4">
      <c r="A192" s="74" t="s">
        <v>266</v>
      </c>
      <c r="B192" s="71">
        <v>500</v>
      </c>
    </row>
    <row r="193" spans="1:2" ht="15" thickBot="1" x14ac:dyDescent="0.4">
      <c r="A193" s="83">
        <v>45853</v>
      </c>
      <c r="B193" s="71">
        <v>500</v>
      </c>
    </row>
    <row r="194" spans="1:2" ht="15" thickBot="1" x14ac:dyDescent="0.4">
      <c r="A194" s="74" t="s">
        <v>267</v>
      </c>
      <c r="B194" s="71">
        <v>100</v>
      </c>
    </row>
    <row r="195" spans="1:2" ht="15" thickBot="1" x14ac:dyDescent="0.4">
      <c r="A195" s="83">
        <v>45853</v>
      </c>
      <c r="B195" s="71">
        <v>100</v>
      </c>
    </row>
    <row r="196" spans="1:2" ht="15" thickBot="1" x14ac:dyDescent="0.4">
      <c r="A196" s="74" t="s">
        <v>268</v>
      </c>
      <c r="B196" s="71">
        <v>100</v>
      </c>
    </row>
    <row r="197" spans="1:2" ht="15" thickBot="1" x14ac:dyDescent="0.4">
      <c r="A197" s="83">
        <v>45854</v>
      </c>
      <c r="B197" s="71">
        <v>100</v>
      </c>
    </row>
    <row r="198" spans="1:2" ht="15" thickBot="1" x14ac:dyDescent="0.4">
      <c r="A198" s="74" t="s">
        <v>281</v>
      </c>
      <c r="B198" s="71">
        <v>100</v>
      </c>
    </row>
    <row r="199" spans="1:2" ht="15" thickBot="1" x14ac:dyDescent="0.4">
      <c r="A199" s="83">
        <v>45861</v>
      </c>
      <c r="B199" s="71">
        <v>100</v>
      </c>
    </row>
    <row r="200" spans="1:2" ht="15" thickBot="1" x14ac:dyDescent="0.4">
      <c r="A200" s="74" t="s">
        <v>282</v>
      </c>
      <c r="B200" s="71">
        <v>200</v>
      </c>
    </row>
    <row r="201" spans="1:2" ht="15" thickBot="1" x14ac:dyDescent="0.4">
      <c r="A201" s="83">
        <v>45861</v>
      </c>
      <c r="B201" s="71">
        <v>200</v>
      </c>
    </row>
    <row r="202" spans="1:2" ht="15" thickBot="1" x14ac:dyDescent="0.4">
      <c r="A202" s="75" t="s">
        <v>71</v>
      </c>
      <c r="B202" s="71">
        <v>300</v>
      </c>
    </row>
    <row r="203" spans="1:2" ht="15" thickBot="1" x14ac:dyDescent="0.4">
      <c r="A203" s="74" t="s">
        <v>275</v>
      </c>
      <c r="B203" s="71">
        <v>300</v>
      </c>
    </row>
    <row r="204" spans="1:2" ht="15" thickBot="1" x14ac:dyDescent="0.4">
      <c r="A204" s="83">
        <v>45860</v>
      </c>
      <c r="B204" s="71">
        <v>300</v>
      </c>
    </row>
    <row r="205" spans="1:2" ht="15" thickBot="1" x14ac:dyDescent="0.4">
      <c r="A205" s="74" t="s">
        <v>262</v>
      </c>
      <c r="B205" s="71">
        <v>300</v>
      </c>
    </row>
    <row r="206" spans="1:2" ht="15" thickBot="1" x14ac:dyDescent="0.4">
      <c r="A206" s="83">
        <v>45852</v>
      </c>
      <c r="B206" s="71">
        <v>300</v>
      </c>
    </row>
    <row r="207" spans="1:2" ht="15" thickBot="1" x14ac:dyDescent="0.4">
      <c r="A207" s="74" t="s">
        <v>257</v>
      </c>
      <c r="B207" s="71">
        <v>300</v>
      </c>
    </row>
    <row r="208" spans="1:2" ht="15" thickBot="1" x14ac:dyDescent="0.4">
      <c r="A208" s="83">
        <v>45855</v>
      </c>
      <c r="B208" s="71">
        <v>300</v>
      </c>
    </row>
    <row r="209" spans="1:2" ht="15" thickBot="1" x14ac:dyDescent="0.4">
      <c r="A209" s="74" t="s">
        <v>271</v>
      </c>
      <c r="B209" s="71">
        <v>200</v>
      </c>
    </row>
    <row r="210" spans="1:2" ht="15" thickBot="1" x14ac:dyDescent="0.4">
      <c r="A210" s="83">
        <v>45855</v>
      </c>
      <c r="B210" s="71">
        <v>200</v>
      </c>
    </row>
    <row r="211" spans="1:2" ht="15" thickBot="1" x14ac:dyDescent="0.4">
      <c r="A211" s="74" t="s">
        <v>253</v>
      </c>
      <c r="B211" s="71">
        <v>300</v>
      </c>
    </row>
    <row r="212" spans="1:2" ht="15" thickBot="1" x14ac:dyDescent="0.4">
      <c r="A212" s="83">
        <v>45842</v>
      </c>
      <c r="B212" s="71">
        <v>200</v>
      </c>
    </row>
    <row r="213" spans="1:2" ht="15" thickBot="1" x14ac:dyDescent="0.4">
      <c r="A213" s="83">
        <v>45859</v>
      </c>
      <c r="B213" s="71">
        <v>300</v>
      </c>
    </row>
    <row r="214" spans="1:2" ht="15" thickBot="1" x14ac:dyDescent="0.4">
      <c r="A214" s="74" t="s">
        <v>255</v>
      </c>
      <c r="B214" s="71">
        <v>300</v>
      </c>
    </row>
    <row r="215" spans="1:2" ht="15" thickBot="1" x14ac:dyDescent="0.4">
      <c r="A215" s="83">
        <v>45842</v>
      </c>
      <c r="B215" s="71">
        <v>300</v>
      </c>
    </row>
    <row r="216" spans="1:2" ht="15" thickBot="1" x14ac:dyDescent="0.4">
      <c r="A216" s="74" t="s">
        <v>272</v>
      </c>
      <c r="B216" s="71">
        <v>200</v>
      </c>
    </row>
    <row r="217" spans="1:2" ht="15" thickBot="1" x14ac:dyDescent="0.4">
      <c r="A217" s="83">
        <v>45856</v>
      </c>
      <c r="B217" s="71">
        <v>200</v>
      </c>
    </row>
    <row r="218" spans="1:2" ht="15" thickBot="1" x14ac:dyDescent="0.4">
      <c r="A218" s="74" t="s">
        <v>259</v>
      </c>
      <c r="B218" s="71">
        <v>300</v>
      </c>
    </row>
    <row r="219" spans="1:2" ht="15" thickBot="1" x14ac:dyDescent="0.4">
      <c r="A219" s="83">
        <v>45849</v>
      </c>
      <c r="B219" s="71">
        <v>300</v>
      </c>
    </row>
    <row r="220" spans="1:2" ht="15" thickBot="1" x14ac:dyDescent="0.4">
      <c r="A220" s="74" t="s">
        <v>278</v>
      </c>
      <c r="B220" s="71">
        <v>300</v>
      </c>
    </row>
    <row r="221" spans="1:2" ht="15" thickBot="1" x14ac:dyDescent="0.4">
      <c r="A221" s="83">
        <v>45860</v>
      </c>
      <c r="B221" s="71">
        <v>300</v>
      </c>
    </row>
    <row r="222" spans="1:2" ht="15" thickBot="1" x14ac:dyDescent="0.4">
      <c r="A222" s="75" t="s">
        <v>178</v>
      </c>
      <c r="B222" s="71">
        <v>6000</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tabColor theme="5" tint="0.59999389629810485"/>
  </sheetPr>
  <dimension ref="A2:C17"/>
  <sheetViews>
    <sheetView showGridLines="0" workbookViewId="0">
      <selection activeCell="B20" sqref="B20"/>
    </sheetView>
  </sheetViews>
  <sheetFormatPr defaultRowHeight="14.5" x14ac:dyDescent="0.35"/>
  <cols>
    <col min="1" max="1" width="26.453125" bestFit="1" customWidth="1"/>
    <col min="2" max="2" width="16.54296875" bestFit="1" customWidth="1"/>
    <col min="3" max="3" width="19.36328125" bestFit="1" customWidth="1"/>
    <col min="4" max="4" width="8.7265625" bestFit="1" customWidth="1"/>
    <col min="5" max="5" width="11.26953125" bestFit="1" customWidth="1"/>
  </cols>
  <sheetData>
    <row r="2" spans="1:3" ht="15" thickBot="1" x14ac:dyDescent="0.4"/>
    <row r="3" spans="1:3" ht="15" thickBot="1" x14ac:dyDescent="0.4">
      <c r="A3" s="72" t="s">
        <v>18</v>
      </c>
      <c r="B3" s="9" t="s">
        <v>179</v>
      </c>
    </row>
    <row r="4" spans="1:3" ht="15" thickBot="1" x14ac:dyDescent="0.4">
      <c r="A4" s="72" t="s">
        <v>23</v>
      </c>
      <c r="B4" s="9" t="s">
        <v>179</v>
      </c>
    </row>
    <row r="5" spans="1:3" ht="15" thickBot="1" x14ac:dyDescent="0.4"/>
    <row r="6" spans="1:3" ht="15" thickBot="1" x14ac:dyDescent="0.4">
      <c r="A6" s="72" t="s">
        <v>177</v>
      </c>
      <c r="B6" s="9" t="s">
        <v>183</v>
      </c>
      <c r="C6" s="9" t="s">
        <v>184</v>
      </c>
    </row>
    <row r="7" spans="1:3" ht="15" thickBot="1" x14ac:dyDescent="0.4">
      <c r="A7" s="75" t="s">
        <v>210</v>
      </c>
      <c r="B7" s="71">
        <v>1000</v>
      </c>
      <c r="C7" s="77">
        <v>10</v>
      </c>
    </row>
    <row r="8" spans="1:3" ht="15" thickBot="1" x14ac:dyDescent="0.4">
      <c r="A8" s="75" t="s">
        <v>65</v>
      </c>
      <c r="B8" s="71">
        <v>1000</v>
      </c>
      <c r="C8" s="77">
        <v>10</v>
      </c>
    </row>
    <row r="9" spans="1:3" ht="15" thickBot="1" x14ac:dyDescent="0.4">
      <c r="A9" s="75" t="s">
        <v>59</v>
      </c>
      <c r="B9" s="71">
        <v>500</v>
      </c>
      <c r="C9" s="77">
        <v>5</v>
      </c>
    </row>
    <row r="10" spans="1:3" ht="15" thickBot="1" x14ac:dyDescent="0.4">
      <c r="A10" s="75" t="s">
        <v>48</v>
      </c>
      <c r="B10" s="71">
        <v>500</v>
      </c>
      <c r="C10" s="77">
        <v>5</v>
      </c>
    </row>
    <row r="11" spans="1:3" ht="15" thickBot="1" x14ac:dyDescent="0.4">
      <c r="A11" s="75" t="s">
        <v>71</v>
      </c>
      <c r="B11" s="71">
        <v>200</v>
      </c>
      <c r="C11" s="77">
        <v>2</v>
      </c>
    </row>
    <row r="12" spans="1:3" ht="15" thickBot="1" x14ac:dyDescent="0.4">
      <c r="A12" s="75" t="s">
        <v>49</v>
      </c>
      <c r="B12" s="71">
        <v>150</v>
      </c>
      <c r="C12" s="77">
        <v>1.5</v>
      </c>
    </row>
    <row r="13" spans="1:3" ht="15" thickBot="1" x14ac:dyDescent="0.4">
      <c r="A13" s="75" t="s">
        <v>215</v>
      </c>
      <c r="B13" s="71">
        <v>100</v>
      </c>
      <c r="C13" s="77">
        <v>1</v>
      </c>
    </row>
    <row r="14" spans="1:3" ht="15" thickBot="1" x14ac:dyDescent="0.4">
      <c r="A14" s="75" t="s">
        <v>203</v>
      </c>
      <c r="B14" s="71">
        <v>100</v>
      </c>
      <c r="C14" s="77">
        <v>1</v>
      </c>
    </row>
    <row r="15" spans="1:3" ht="15" thickBot="1" x14ac:dyDescent="0.4">
      <c r="A15" s="75" t="s">
        <v>64</v>
      </c>
      <c r="B15" s="71">
        <v>100</v>
      </c>
      <c r="C15" s="77">
        <v>1</v>
      </c>
    </row>
    <row r="16" spans="1:3" ht="15" thickBot="1" x14ac:dyDescent="0.4">
      <c r="A16" s="75" t="s">
        <v>54</v>
      </c>
      <c r="B16" s="71">
        <v>100</v>
      </c>
      <c r="C16" s="77">
        <v>1</v>
      </c>
    </row>
    <row r="17" spans="1:3" ht="15" thickBot="1" x14ac:dyDescent="0.4">
      <c r="A17" s="75" t="s">
        <v>178</v>
      </c>
      <c r="B17" s="71">
        <v>100</v>
      </c>
      <c r="C17" s="77">
        <v>1</v>
      </c>
    </row>
  </sheetData>
  <pageMargins left="0.7" right="0.7" top="0.75" bottom="0.75" header="0.3" footer="0.3"/>
  <drawing r:id="rId2"/>
  <extLst>
    <ext xmlns:x14="http://schemas.microsoft.com/office/spreadsheetml/2009/9/main" uri="{A8765BA9-456A-4dab-B4F3-ACF838C121DE}">
      <x14:slicerList>
        <x14:slicer r:id="rId3"/>
      </x14:slicerList>
    </ext>
    <ext xmlns:x15="http://schemas.microsoft.com/office/spreadsheetml/2010/11/main" uri="{7E03D99C-DC04-49d9-9315-930204A7B6E9}">
      <x15:timelineRefs>
        <x15:timelineRef r:id="rId4"/>
      </x15:timelineRef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7">
    <tabColor theme="3" tint="-0.249977111117893"/>
  </sheetPr>
  <dimension ref="A1:C565"/>
  <sheetViews>
    <sheetView showGridLines="0" workbookViewId="0">
      <selection activeCell="A3" sqref="A3"/>
    </sheetView>
  </sheetViews>
  <sheetFormatPr defaultRowHeight="14.5" x14ac:dyDescent="0.35"/>
  <cols>
    <col min="1" max="1" width="36.81640625" style="54" bestFit="1" customWidth="1"/>
    <col min="2" max="2" width="17" customWidth="1"/>
    <col min="3" max="3" width="19.7265625" customWidth="1"/>
    <col min="4" max="4" width="8.7265625" bestFit="1" customWidth="1"/>
    <col min="5" max="5" width="11.26953125" bestFit="1" customWidth="1"/>
  </cols>
  <sheetData>
    <row r="1" spans="1:3" ht="15" thickBot="1" x14ac:dyDescent="0.4">
      <c r="A1" s="157" t="s">
        <v>218</v>
      </c>
      <c r="B1" s="158"/>
      <c r="C1" s="159"/>
    </row>
    <row r="2" spans="1:3" ht="15" thickBot="1" x14ac:dyDescent="0.4">
      <c r="A2" s="56" t="s">
        <v>0</v>
      </c>
      <c r="B2" s="10" t="s">
        <v>180</v>
      </c>
      <c r="C2" s="58" t="s">
        <v>185</v>
      </c>
    </row>
    <row r="3" spans="1:3" ht="15" thickBot="1" x14ac:dyDescent="0.4">
      <c r="A3" s="64">
        <v>45842</v>
      </c>
      <c r="B3" s="55">
        <v>21900</v>
      </c>
      <c r="C3" s="59">
        <v>0.20607885574480098</v>
      </c>
    </row>
    <row r="4" spans="1:3" ht="15" thickBot="1" x14ac:dyDescent="0.4">
      <c r="A4" s="80" t="s">
        <v>19</v>
      </c>
      <c r="B4" s="55">
        <v>21900</v>
      </c>
      <c r="C4" s="59">
        <v>0.20607885574480098</v>
      </c>
    </row>
    <row r="5" spans="1:3" ht="15" thickBot="1" x14ac:dyDescent="0.4">
      <c r="A5" s="53" t="s">
        <v>65</v>
      </c>
      <c r="B5" s="55">
        <v>9000</v>
      </c>
      <c r="C5" s="59">
        <v>8.4689940717041501E-2</v>
      </c>
    </row>
    <row r="6" spans="1:3" ht="15" thickBot="1" x14ac:dyDescent="0.4">
      <c r="A6" s="81" t="s">
        <v>14</v>
      </c>
      <c r="B6" s="55">
        <v>9000</v>
      </c>
      <c r="C6" s="59">
        <v>8.4689940717041501E-2</v>
      </c>
    </row>
    <row r="7" spans="1:3" ht="15" thickBot="1" x14ac:dyDescent="0.4">
      <c r="A7" s="82" t="s">
        <v>256</v>
      </c>
      <c r="B7" s="55">
        <v>3000</v>
      </c>
      <c r="C7" s="59">
        <v>2.8229980239013831E-2</v>
      </c>
    </row>
    <row r="8" spans="1:3" ht="15" thickBot="1" x14ac:dyDescent="0.4">
      <c r="A8" s="82" t="s">
        <v>254</v>
      </c>
      <c r="B8" s="55">
        <v>3000</v>
      </c>
      <c r="C8" s="59">
        <v>2.8229980239013831E-2</v>
      </c>
    </row>
    <row r="9" spans="1:3" ht="15" thickBot="1" x14ac:dyDescent="0.4">
      <c r="A9" s="82" t="s">
        <v>255</v>
      </c>
      <c r="B9" s="55">
        <v>3000</v>
      </c>
      <c r="C9" s="59">
        <v>2.8229980239013831E-2</v>
      </c>
    </row>
    <row r="10" spans="1:3" ht="15" thickBot="1" x14ac:dyDescent="0.4">
      <c r="A10" s="53" t="s">
        <v>64</v>
      </c>
      <c r="B10" s="55">
        <v>5100</v>
      </c>
      <c r="C10" s="59">
        <v>4.7990966406323513E-2</v>
      </c>
    </row>
    <row r="11" spans="1:3" ht="15" thickBot="1" x14ac:dyDescent="0.4">
      <c r="A11" s="81" t="s">
        <v>14</v>
      </c>
      <c r="B11" s="55">
        <v>5100</v>
      </c>
      <c r="C11" s="59">
        <v>4.7990966406323513E-2</v>
      </c>
    </row>
    <row r="12" spans="1:3" ht="15" thickBot="1" x14ac:dyDescent="0.4">
      <c r="A12" s="82" t="s">
        <v>256</v>
      </c>
      <c r="B12" s="55">
        <v>3000</v>
      </c>
      <c r="C12" s="59">
        <v>2.8229980239013831E-2</v>
      </c>
    </row>
    <row r="13" spans="1:3" ht="15" thickBot="1" x14ac:dyDescent="0.4">
      <c r="A13" s="82" t="s">
        <v>253</v>
      </c>
      <c r="B13" s="55">
        <v>100</v>
      </c>
      <c r="C13" s="59">
        <v>9.4099934130046107E-4</v>
      </c>
    </row>
    <row r="14" spans="1:3" ht="15" thickBot="1" x14ac:dyDescent="0.4">
      <c r="A14" s="82" t="s">
        <v>255</v>
      </c>
      <c r="B14" s="55">
        <v>2000</v>
      </c>
      <c r="C14" s="59">
        <v>1.8819986826009223E-2</v>
      </c>
    </row>
    <row r="15" spans="1:3" ht="15" thickBot="1" x14ac:dyDescent="0.4">
      <c r="A15" s="53" t="s">
        <v>59</v>
      </c>
      <c r="B15" s="55">
        <v>2000</v>
      </c>
      <c r="C15" s="59">
        <v>1.8819986826009223E-2</v>
      </c>
    </row>
    <row r="16" spans="1:3" ht="15" thickBot="1" x14ac:dyDescent="0.4">
      <c r="A16" s="81" t="s">
        <v>14</v>
      </c>
      <c r="B16" s="55">
        <v>2000</v>
      </c>
      <c r="C16" s="59">
        <v>1.8819986826009223E-2</v>
      </c>
    </row>
    <row r="17" spans="1:3" ht="15" thickBot="1" x14ac:dyDescent="0.4">
      <c r="A17" s="82" t="s">
        <v>256</v>
      </c>
      <c r="B17" s="55">
        <v>500</v>
      </c>
      <c r="C17" s="59">
        <v>4.7049967065023058E-3</v>
      </c>
    </row>
    <row r="18" spans="1:3" ht="15" thickBot="1" x14ac:dyDescent="0.4">
      <c r="A18" s="82" t="s">
        <v>254</v>
      </c>
      <c r="B18" s="55">
        <v>500</v>
      </c>
      <c r="C18" s="59">
        <v>4.7049967065023058E-3</v>
      </c>
    </row>
    <row r="19" spans="1:3" ht="15" thickBot="1" x14ac:dyDescent="0.4">
      <c r="A19" s="82" t="s">
        <v>253</v>
      </c>
      <c r="B19" s="55">
        <v>500</v>
      </c>
      <c r="C19" s="59">
        <v>4.7049967065023058E-3</v>
      </c>
    </row>
    <row r="20" spans="1:3" ht="15" thickBot="1" x14ac:dyDescent="0.4">
      <c r="A20" s="82" t="s">
        <v>255</v>
      </c>
      <c r="B20" s="55">
        <v>500</v>
      </c>
      <c r="C20" s="59">
        <v>4.7049967065023058E-3</v>
      </c>
    </row>
    <row r="21" spans="1:3" ht="15" thickBot="1" x14ac:dyDescent="0.4">
      <c r="A21" s="53" t="s">
        <v>215</v>
      </c>
      <c r="B21" s="55">
        <v>1900</v>
      </c>
      <c r="C21" s="59">
        <v>1.7878987484708762E-2</v>
      </c>
    </row>
    <row r="22" spans="1:3" ht="15" thickBot="1" x14ac:dyDescent="0.4">
      <c r="A22" s="81" t="s">
        <v>14</v>
      </c>
      <c r="B22" s="55">
        <v>1900</v>
      </c>
      <c r="C22" s="59">
        <v>1.7878987484708762E-2</v>
      </c>
    </row>
    <row r="23" spans="1:3" ht="15" thickBot="1" x14ac:dyDescent="0.4">
      <c r="A23" s="82" t="s">
        <v>256</v>
      </c>
      <c r="B23" s="55">
        <v>500</v>
      </c>
      <c r="C23" s="59">
        <v>4.7049967065023058E-3</v>
      </c>
    </row>
    <row r="24" spans="1:3" ht="15" thickBot="1" x14ac:dyDescent="0.4">
      <c r="A24" s="82" t="s">
        <v>254</v>
      </c>
      <c r="B24" s="55">
        <v>1000</v>
      </c>
      <c r="C24" s="59">
        <v>9.4099934130046116E-3</v>
      </c>
    </row>
    <row r="25" spans="1:3" ht="15" thickBot="1" x14ac:dyDescent="0.4">
      <c r="A25" s="82" t="s">
        <v>253</v>
      </c>
      <c r="B25" s="55">
        <v>400</v>
      </c>
      <c r="C25" s="59">
        <v>3.7639973652018443E-3</v>
      </c>
    </row>
    <row r="26" spans="1:3" ht="15" thickBot="1" x14ac:dyDescent="0.4">
      <c r="A26" s="53" t="s">
        <v>210</v>
      </c>
      <c r="B26" s="55">
        <v>1000</v>
      </c>
      <c r="C26" s="59">
        <v>9.4099934130046116E-3</v>
      </c>
    </row>
    <row r="27" spans="1:3" ht="15" thickBot="1" x14ac:dyDescent="0.4">
      <c r="A27" s="81" t="s">
        <v>14</v>
      </c>
      <c r="B27" s="55">
        <v>1000</v>
      </c>
      <c r="C27" s="59">
        <v>9.4099934130046116E-3</v>
      </c>
    </row>
    <row r="28" spans="1:3" ht="15" thickBot="1" x14ac:dyDescent="0.4">
      <c r="A28" s="82" t="s">
        <v>254</v>
      </c>
      <c r="B28" s="55">
        <v>1000</v>
      </c>
      <c r="C28" s="59">
        <v>9.4099934130046116E-3</v>
      </c>
    </row>
    <row r="29" spans="1:3" ht="15" thickBot="1" x14ac:dyDescent="0.4">
      <c r="A29" s="53" t="s">
        <v>48</v>
      </c>
      <c r="B29" s="55">
        <v>1000</v>
      </c>
      <c r="C29" s="59">
        <v>9.4099934130046116E-3</v>
      </c>
    </row>
    <row r="30" spans="1:3" ht="15" thickBot="1" x14ac:dyDescent="0.4">
      <c r="A30" s="81" t="s">
        <v>14</v>
      </c>
      <c r="B30" s="55">
        <v>1000</v>
      </c>
      <c r="C30" s="59">
        <v>9.4099934130046116E-3</v>
      </c>
    </row>
    <row r="31" spans="1:3" ht="15" thickBot="1" x14ac:dyDescent="0.4">
      <c r="A31" s="82" t="s">
        <v>254</v>
      </c>
      <c r="B31" s="55">
        <v>500</v>
      </c>
      <c r="C31" s="59">
        <v>4.7049967065023058E-3</v>
      </c>
    </row>
    <row r="32" spans="1:3" ht="15" thickBot="1" x14ac:dyDescent="0.4">
      <c r="A32" s="82" t="s">
        <v>253</v>
      </c>
      <c r="B32" s="55">
        <v>500</v>
      </c>
      <c r="C32" s="59">
        <v>4.7049967065023058E-3</v>
      </c>
    </row>
    <row r="33" spans="1:3" ht="15" thickBot="1" x14ac:dyDescent="0.4">
      <c r="A33" s="53" t="s">
        <v>49</v>
      </c>
      <c r="B33" s="55">
        <v>800</v>
      </c>
      <c r="C33" s="59">
        <v>7.5279947304036886E-3</v>
      </c>
    </row>
    <row r="34" spans="1:3" ht="15" thickBot="1" x14ac:dyDescent="0.4">
      <c r="A34" s="81" t="s">
        <v>14</v>
      </c>
      <c r="B34" s="55">
        <v>800</v>
      </c>
      <c r="C34" s="59">
        <v>7.5279947304036886E-3</v>
      </c>
    </row>
    <row r="35" spans="1:3" ht="15" thickBot="1" x14ac:dyDescent="0.4">
      <c r="A35" s="82" t="s">
        <v>254</v>
      </c>
      <c r="B35" s="55">
        <v>300</v>
      </c>
      <c r="C35" s="59">
        <v>2.8229980239013832E-3</v>
      </c>
    </row>
    <row r="36" spans="1:3" ht="15" thickBot="1" x14ac:dyDescent="0.4">
      <c r="A36" s="82" t="s">
        <v>255</v>
      </c>
      <c r="B36" s="55">
        <v>500</v>
      </c>
      <c r="C36" s="59">
        <v>4.7049967065023058E-3</v>
      </c>
    </row>
    <row r="37" spans="1:3" ht="15" thickBot="1" x14ac:dyDescent="0.4">
      <c r="A37" s="53" t="s">
        <v>71</v>
      </c>
      <c r="B37" s="55">
        <v>500</v>
      </c>
      <c r="C37" s="59">
        <v>4.7049967065023058E-3</v>
      </c>
    </row>
    <row r="38" spans="1:3" ht="15" thickBot="1" x14ac:dyDescent="0.4">
      <c r="A38" s="81" t="s">
        <v>14</v>
      </c>
      <c r="B38" s="55">
        <v>500</v>
      </c>
      <c r="C38" s="59">
        <v>4.7049967065023058E-3</v>
      </c>
    </row>
    <row r="39" spans="1:3" ht="15" thickBot="1" x14ac:dyDescent="0.4">
      <c r="A39" s="82" t="s">
        <v>253</v>
      </c>
      <c r="B39" s="55">
        <v>200</v>
      </c>
      <c r="C39" s="59">
        <v>1.8819986826009221E-3</v>
      </c>
    </row>
    <row r="40" spans="1:3" ht="15" thickBot="1" x14ac:dyDescent="0.4">
      <c r="A40" s="82" t="s">
        <v>255</v>
      </c>
      <c r="B40" s="55">
        <v>300</v>
      </c>
      <c r="C40" s="59">
        <v>2.8229980239013832E-3</v>
      </c>
    </row>
    <row r="41" spans="1:3" ht="15" thickBot="1" x14ac:dyDescent="0.4">
      <c r="A41" s="53" t="s">
        <v>203</v>
      </c>
      <c r="B41" s="55">
        <v>500</v>
      </c>
      <c r="C41" s="59">
        <v>4.7049967065023058E-3</v>
      </c>
    </row>
    <row r="42" spans="1:3" ht="15" thickBot="1" x14ac:dyDescent="0.4">
      <c r="A42" s="81" t="s">
        <v>14</v>
      </c>
      <c r="B42" s="55">
        <v>500</v>
      </c>
      <c r="C42" s="59">
        <v>4.7049967065023058E-3</v>
      </c>
    </row>
    <row r="43" spans="1:3" ht="15" thickBot="1" x14ac:dyDescent="0.4">
      <c r="A43" s="82" t="s">
        <v>256</v>
      </c>
      <c r="B43" s="55">
        <v>200</v>
      </c>
      <c r="C43" s="59">
        <v>1.8819986826009221E-3</v>
      </c>
    </row>
    <row r="44" spans="1:3" ht="15" thickBot="1" x14ac:dyDescent="0.4">
      <c r="A44" s="82" t="s">
        <v>254</v>
      </c>
      <c r="B44" s="55">
        <v>100</v>
      </c>
      <c r="C44" s="59">
        <v>9.4099934130046107E-4</v>
      </c>
    </row>
    <row r="45" spans="1:3" ht="15" thickBot="1" x14ac:dyDescent="0.4">
      <c r="A45" s="82" t="s">
        <v>255</v>
      </c>
      <c r="B45" s="55">
        <v>200</v>
      </c>
      <c r="C45" s="59">
        <v>1.8819986826009221E-3</v>
      </c>
    </row>
    <row r="46" spans="1:3" ht="15" thickBot="1" x14ac:dyDescent="0.4">
      <c r="A46" s="53" t="s">
        <v>60</v>
      </c>
      <c r="B46" s="55">
        <v>100</v>
      </c>
      <c r="C46" s="59">
        <v>9.4099934130046107E-4</v>
      </c>
    </row>
    <row r="47" spans="1:3" ht="15" thickBot="1" x14ac:dyDescent="0.4">
      <c r="A47" s="81" t="s">
        <v>14</v>
      </c>
      <c r="B47" s="55">
        <v>100</v>
      </c>
      <c r="C47" s="59">
        <v>9.4099934130046107E-4</v>
      </c>
    </row>
    <row r="48" spans="1:3" ht="15" thickBot="1" x14ac:dyDescent="0.4">
      <c r="A48" s="82" t="s">
        <v>256</v>
      </c>
      <c r="B48" s="55">
        <v>100</v>
      </c>
      <c r="C48" s="59">
        <v>9.4099934130046107E-4</v>
      </c>
    </row>
    <row r="49" spans="1:3" ht="15" thickBot="1" x14ac:dyDescent="0.4">
      <c r="A49" s="64">
        <v>45846</v>
      </c>
      <c r="B49" s="55">
        <v>7000</v>
      </c>
      <c r="C49" s="59">
        <v>6.5869953891032271E-2</v>
      </c>
    </row>
    <row r="50" spans="1:3" ht="15" thickBot="1" x14ac:dyDescent="0.4">
      <c r="A50" s="80" t="s">
        <v>19</v>
      </c>
      <c r="B50" s="55">
        <v>7000</v>
      </c>
      <c r="C50" s="59">
        <v>6.5869953891032271E-2</v>
      </c>
    </row>
    <row r="51" spans="1:3" ht="15" thickBot="1" x14ac:dyDescent="0.4">
      <c r="A51" s="53" t="s">
        <v>64</v>
      </c>
      <c r="B51" s="55">
        <v>3000</v>
      </c>
      <c r="C51" s="59">
        <v>2.8229980239013831E-2</v>
      </c>
    </row>
    <row r="52" spans="1:3" ht="15" thickBot="1" x14ac:dyDescent="0.4">
      <c r="A52" s="81" t="s">
        <v>14</v>
      </c>
      <c r="B52" s="55">
        <v>3000</v>
      </c>
      <c r="C52" s="59">
        <v>2.8229980239013831E-2</v>
      </c>
    </row>
    <row r="53" spans="1:3" ht="15" thickBot="1" x14ac:dyDescent="0.4">
      <c r="A53" s="82" t="s">
        <v>257</v>
      </c>
      <c r="B53" s="55">
        <v>3000</v>
      </c>
      <c r="C53" s="59">
        <v>2.8229980239013831E-2</v>
      </c>
    </row>
    <row r="54" spans="1:3" ht="15" thickBot="1" x14ac:dyDescent="0.4">
      <c r="A54" s="53" t="s">
        <v>65</v>
      </c>
      <c r="B54" s="55">
        <v>3000</v>
      </c>
      <c r="C54" s="59">
        <v>2.8229980239013831E-2</v>
      </c>
    </row>
    <row r="55" spans="1:3" ht="15" thickBot="1" x14ac:dyDescent="0.4">
      <c r="A55" s="81" t="s">
        <v>14</v>
      </c>
      <c r="B55" s="55">
        <v>3000</v>
      </c>
      <c r="C55" s="59">
        <v>2.8229980239013831E-2</v>
      </c>
    </row>
    <row r="56" spans="1:3" ht="15" thickBot="1" x14ac:dyDescent="0.4">
      <c r="A56" s="82" t="s">
        <v>257</v>
      </c>
      <c r="B56" s="55">
        <v>3000</v>
      </c>
      <c r="C56" s="59">
        <v>2.8229980239013831E-2</v>
      </c>
    </row>
    <row r="57" spans="1:3" ht="15" thickBot="1" x14ac:dyDescent="0.4">
      <c r="A57" s="53" t="s">
        <v>59</v>
      </c>
      <c r="B57" s="55">
        <v>500</v>
      </c>
      <c r="C57" s="59">
        <v>4.7049967065023058E-3</v>
      </c>
    </row>
    <row r="58" spans="1:3" ht="15" thickBot="1" x14ac:dyDescent="0.4">
      <c r="A58" s="81" t="s">
        <v>14</v>
      </c>
      <c r="B58" s="55">
        <v>500</v>
      </c>
      <c r="C58" s="59">
        <v>4.7049967065023058E-3</v>
      </c>
    </row>
    <row r="59" spans="1:3" ht="15" thickBot="1" x14ac:dyDescent="0.4">
      <c r="A59" s="82" t="s">
        <v>257</v>
      </c>
      <c r="B59" s="55">
        <v>500</v>
      </c>
      <c r="C59" s="59">
        <v>4.7049967065023058E-3</v>
      </c>
    </row>
    <row r="60" spans="1:3" ht="15" thickBot="1" x14ac:dyDescent="0.4">
      <c r="A60" s="53" t="s">
        <v>48</v>
      </c>
      <c r="B60" s="55">
        <v>500</v>
      </c>
      <c r="C60" s="59">
        <v>4.7049967065023058E-3</v>
      </c>
    </row>
    <row r="61" spans="1:3" ht="15" thickBot="1" x14ac:dyDescent="0.4">
      <c r="A61" s="81" t="s">
        <v>14</v>
      </c>
      <c r="B61" s="55">
        <v>500</v>
      </c>
      <c r="C61" s="59">
        <v>4.7049967065023058E-3</v>
      </c>
    </row>
    <row r="62" spans="1:3" ht="15" thickBot="1" x14ac:dyDescent="0.4">
      <c r="A62" s="82" t="s">
        <v>257</v>
      </c>
      <c r="B62" s="55">
        <v>500</v>
      </c>
      <c r="C62" s="59">
        <v>4.7049967065023058E-3</v>
      </c>
    </row>
    <row r="63" spans="1:3" ht="15" thickBot="1" x14ac:dyDescent="0.4">
      <c r="A63" s="64">
        <v>45847</v>
      </c>
      <c r="B63" s="55">
        <v>8030</v>
      </c>
      <c r="C63" s="59">
        <v>7.5562247106427019E-2</v>
      </c>
    </row>
    <row r="64" spans="1:3" ht="15" thickBot="1" x14ac:dyDescent="0.4">
      <c r="A64" s="80" t="s">
        <v>19</v>
      </c>
      <c r="B64" s="55">
        <v>8030</v>
      </c>
      <c r="C64" s="59">
        <v>7.5562247106427019E-2</v>
      </c>
    </row>
    <row r="65" spans="1:3" ht="15" thickBot="1" x14ac:dyDescent="0.4">
      <c r="A65" s="53" t="s">
        <v>65</v>
      </c>
      <c r="B65" s="55">
        <v>5000</v>
      </c>
      <c r="C65" s="59">
        <v>4.7049967065023054E-2</v>
      </c>
    </row>
    <row r="66" spans="1:3" ht="15" thickBot="1" x14ac:dyDescent="0.4">
      <c r="A66" s="81" t="s">
        <v>14</v>
      </c>
      <c r="B66" s="55">
        <v>5000</v>
      </c>
      <c r="C66" s="59">
        <v>4.7049967065023054E-2</v>
      </c>
    </row>
    <row r="67" spans="1:3" ht="15" thickBot="1" x14ac:dyDescent="0.4">
      <c r="A67" s="82" t="s">
        <v>253</v>
      </c>
      <c r="B67" s="55">
        <v>3000</v>
      </c>
      <c r="C67" s="59">
        <v>2.8229980239013831E-2</v>
      </c>
    </row>
    <row r="68" spans="1:3" ht="15" thickBot="1" x14ac:dyDescent="0.4">
      <c r="A68" s="82" t="s">
        <v>258</v>
      </c>
      <c r="B68" s="55">
        <v>2000</v>
      </c>
      <c r="C68" s="59">
        <v>1.8819986826009223E-2</v>
      </c>
    </row>
    <row r="69" spans="1:3" ht="15" thickBot="1" x14ac:dyDescent="0.4">
      <c r="A69" s="53" t="s">
        <v>64</v>
      </c>
      <c r="B69" s="55">
        <v>2000</v>
      </c>
      <c r="C69" s="59">
        <v>1.8819986826009223E-2</v>
      </c>
    </row>
    <row r="70" spans="1:3" ht="15" thickBot="1" x14ac:dyDescent="0.4">
      <c r="A70" s="81" t="s">
        <v>14</v>
      </c>
      <c r="B70" s="55">
        <v>2000</v>
      </c>
      <c r="C70" s="59">
        <v>1.8819986826009223E-2</v>
      </c>
    </row>
    <row r="71" spans="1:3" ht="15" thickBot="1" x14ac:dyDescent="0.4">
      <c r="A71" s="82" t="s">
        <v>258</v>
      </c>
      <c r="B71" s="55">
        <v>2000</v>
      </c>
      <c r="C71" s="59">
        <v>1.8819986826009223E-2</v>
      </c>
    </row>
    <row r="72" spans="1:3" ht="15" thickBot="1" x14ac:dyDescent="0.4">
      <c r="A72" s="53" t="s">
        <v>59</v>
      </c>
      <c r="B72" s="55">
        <v>500</v>
      </c>
      <c r="C72" s="59">
        <v>4.7049967065023058E-3</v>
      </c>
    </row>
    <row r="73" spans="1:3" ht="15" thickBot="1" x14ac:dyDescent="0.4">
      <c r="A73" s="81" t="s">
        <v>14</v>
      </c>
      <c r="B73" s="55">
        <v>500</v>
      </c>
      <c r="C73" s="59">
        <v>4.7049967065023058E-3</v>
      </c>
    </row>
    <row r="74" spans="1:3" ht="15" thickBot="1" x14ac:dyDescent="0.4">
      <c r="A74" s="82" t="s">
        <v>258</v>
      </c>
      <c r="B74" s="55">
        <v>500</v>
      </c>
      <c r="C74" s="59">
        <v>4.7049967065023058E-3</v>
      </c>
    </row>
    <row r="75" spans="1:3" ht="15" thickBot="1" x14ac:dyDescent="0.4">
      <c r="A75" s="53" t="s">
        <v>203</v>
      </c>
      <c r="B75" s="55">
        <v>200</v>
      </c>
      <c r="C75" s="59">
        <v>1.8819986826009221E-3</v>
      </c>
    </row>
    <row r="76" spans="1:3" ht="15" thickBot="1" x14ac:dyDescent="0.4">
      <c r="A76" s="81" t="s">
        <v>14</v>
      </c>
      <c r="B76" s="55">
        <v>200</v>
      </c>
      <c r="C76" s="59">
        <v>1.8819986826009221E-3</v>
      </c>
    </row>
    <row r="77" spans="1:3" ht="15" thickBot="1" x14ac:dyDescent="0.4">
      <c r="A77" s="82" t="s">
        <v>258</v>
      </c>
      <c r="B77" s="55">
        <v>200</v>
      </c>
      <c r="C77" s="59">
        <v>1.8819986826009221E-3</v>
      </c>
    </row>
    <row r="78" spans="1:3" ht="15" thickBot="1" x14ac:dyDescent="0.4">
      <c r="A78" s="53" t="s">
        <v>49</v>
      </c>
      <c r="B78" s="55">
        <v>150</v>
      </c>
      <c r="C78" s="59">
        <v>1.4114990119506916E-3</v>
      </c>
    </row>
    <row r="79" spans="1:3" ht="15" thickBot="1" x14ac:dyDescent="0.4">
      <c r="A79" s="81" t="s">
        <v>14</v>
      </c>
      <c r="B79" s="55">
        <v>150</v>
      </c>
      <c r="C79" s="59">
        <v>1.4114990119506916E-3</v>
      </c>
    </row>
    <row r="80" spans="1:3" ht="15" thickBot="1" x14ac:dyDescent="0.4">
      <c r="A80" s="82" t="s">
        <v>258</v>
      </c>
      <c r="B80" s="55">
        <v>150</v>
      </c>
      <c r="C80" s="59">
        <v>1.4114990119506916E-3</v>
      </c>
    </row>
    <row r="81" spans="1:3" ht="15" thickBot="1" x14ac:dyDescent="0.4">
      <c r="A81" s="53" t="s">
        <v>215</v>
      </c>
      <c r="B81" s="55">
        <v>100</v>
      </c>
      <c r="C81" s="59">
        <v>9.4099934130046107E-4</v>
      </c>
    </row>
    <row r="82" spans="1:3" ht="15" thickBot="1" x14ac:dyDescent="0.4">
      <c r="A82" s="81" t="s">
        <v>14</v>
      </c>
      <c r="B82" s="55">
        <v>100</v>
      </c>
      <c r="C82" s="59">
        <v>9.4099934130046107E-4</v>
      </c>
    </row>
    <row r="83" spans="1:3" ht="15" thickBot="1" x14ac:dyDescent="0.4">
      <c r="A83" s="82" t="s">
        <v>258</v>
      </c>
      <c r="B83" s="55">
        <v>100</v>
      </c>
      <c r="C83" s="59">
        <v>9.4099934130046107E-4</v>
      </c>
    </row>
    <row r="84" spans="1:3" ht="15" thickBot="1" x14ac:dyDescent="0.4">
      <c r="A84" s="53" t="s">
        <v>60</v>
      </c>
      <c r="B84" s="55">
        <v>80</v>
      </c>
      <c r="C84" s="59">
        <v>7.5279947304036888E-4</v>
      </c>
    </row>
    <row r="85" spans="1:3" ht="15" thickBot="1" x14ac:dyDescent="0.4">
      <c r="A85" s="81" t="s">
        <v>14</v>
      </c>
      <c r="B85" s="55">
        <v>80</v>
      </c>
      <c r="C85" s="59">
        <v>7.5279947304036888E-4</v>
      </c>
    </row>
    <row r="86" spans="1:3" ht="15" thickBot="1" x14ac:dyDescent="0.4">
      <c r="A86" s="82" t="s">
        <v>258</v>
      </c>
      <c r="B86" s="55">
        <v>80</v>
      </c>
      <c r="C86" s="59">
        <v>7.5279947304036888E-4</v>
      </c>
    </row>
    <row r="87" spans="1:3" ht="15" thickBot="1" x14ac:dyDescent="0.4">
      <c r="A87" s="64">
        <v>45849</v>
      </c>
      <c r="B87" s="55">
        <v>10200</v>
      </c>
      <c r="C87" s="59">
        <v>9.5981932812647025E-2</v>
      </c>
    </row>
    <row r="88" spans="1:3" ht="15" thickBot="1" x14ac:dyDescent="0.4">
      <c r="A88" s="80" t="s">
        <v>19</v>
      </c>
      <c r="B88" s="55">
        <v>10200</v>
      </c>
      <c r="C88" s="59">
        <v>9.5981932812647025E-2</v>
      </c>
    </row>
    <row r="89" spans="1:3" ht="15" thickBot="1" x14ac:dyDescent="0.4">
      <c r="A89" s="53" t="s">
        <v>64</v>
      </c>
      <c r="B89" s="55">
        <v>3000</v>
      </c>
      <c r="C89" s="59">
        <v>2.8229980239013831E-2</v>
      </c>
    </row>
    <row r="90" spans="1:3" ht="15" thickBot="1" x14ac:dyDescent="0.4">
      <c r="A90" s="81" t="s">
        <v>14</v>
      </c>
      <c r="B90" s="55">
        <v>3000</v>
      </c>
      <c r="C90" s="59">
        <v>2.8229980239013831E-2</v>
      </c>
    </row>
    <row r="91" spans="1:3" ht="15" thickBot="1" x14ac:dyDescent="0.4">
      <c r="A91" s="82" t="s">
        <v>260</v>
      </c>
      <c r="B91" s="55">
        <v>3000</v>
      </c>
      <c r="C91" s="59">
        <v>2.8229980239013831E-2</v>
      </c>
    </row>
    <row r="92" spans="1:3" ht="15" thickBot="1" x14ac:dyDescent="0.4">
      <c r="A92" s="53" t="s">
        <v>65</v>
      </c>
      <c r="B92" s="55">
        <v>3000</v>
      </c>
      <c r="C92" s="59">
        <v>2.8229980239013831E-2</v>
      </c>
    </row>
    <row r="93" spans="1:3" ht="15" thickBot="1" x14ac:dyDescent="0.4">
      <c r="A93" s="81" t="s">
        <v>14</v>
      </c>
      <c r="B93" s="55">
        <v>3000</v>
      </c>
      <c r="C93" s="59">
        <v>2.8229980239013831E-2</v>
      </c>
    </row>
    <row r="94" spans="1:3" ht="15" thickBot="1" x14ac:dyDescent="0.4">
      <c r="A94" s="82" t="s">
        <v>260</v>
      </c>
      <c r="B94" s="55">
        <v>3000</v>
      </c>
      <c r="C94" s="59">
        <v>2.8229980239013831E-2</v>
      </c>
    </row>
    <row r="95" spans="1:3" ht="15" thickBot="1" x14ac:dyDescent="0.4">
      <c r="A95" s="53" t="s">
        <v>215</v>
      </c>
      <c r="B95" s="55">
        <v>1000</v>
      </c>
      <c r="C95" s="59">
        <v>9.4099934130046116E-3</v>
      </c>
    </row>
    <row r="96" spans="1:3" ht="15" thickBot="1" x14ac:dyDescent="0.4">
      <c r="A96" s="81" t="s">
        <v>14</v>
      </c>
      <c r="B96" s="55">
        <v>1000</v>
      </c>
      <c r="C96" s="59">
        <v>9.4099934130046116E-3</v>
      </c>
    </row>
    <row r="97" spans="1:3" ht="15" thickBot="1" x14ac:dyDescent="0.4">
      <c r="A97" s="82" t="s">
        <v>259</v>
      </c>
      <c r="B97" s="55">
        <v>500</v>
      </c>
      <c r="C97" s="59">
        <v>4.7049967065023058E-3</v>
      </c>
    </row>
    <row r="98" spans="1:3" ht="15" thickBot="1" x14ac:dyDescent="0.4">
      <c r="A98" s="82" t="s">
        <v>260</v>
      </c>
      <c r="B98" s="55">
        <v>500</v>
      </c>
      <c r="C98" s="59">
        <v>4.7049967065023058E-3</v>
      </c>
    </row>
    <row r="99" spans="1:3" ht="15" thickBot="1" x14ac:dyDescent="0.4">
      <c r="A99" s="53" t="s">
        <v>59</v>
      </c>
      <c r="B99" s="55">
        <v>1000</v>
      </c>
      <c r="C99" s="59">
        <v>9.4099934130046116E-3</v>
      </c>
    </row>
    <row r="100" spans="1:3" ht="15" thickBot="1" x14ac:dyDescent="0.4">
      <c r="A100" s="81" t="s">
        <v>14</v>
      </c>
      <c r="B100" s="55">
        <v>1000</v>
      </c>
      <c r="C100" s="59">
        <v>9.4099934130046116E-3</v>
      </c>
    </row>
    <row r="101" spans="1:3" ht="15" thickBot="1" x14ac:dyDescent="0.4">
      <c r="A101" s="82" t="s">
        <v>259</v>
      </c>
      <c r="B101" s="55">
        <v>500</v>
      </c>
      <c r="C101" s="59">
        <v>4.7049967065023058E-3</v>
      </c>
    </row>
    <row r="102" spans="1:3" ht="15" thickBot="1" x14ac:dyDescent="0.4">
      <c r="A102" s="82" t="s">
        <v>260</v>
      </c>
      <c r="B102" s="55">
        <v>500</v>
      </c>
      <c r="C102" s="59">
        <v>4.7049967065023058E-3</v>
      </c>
    </row>
    <row r="103" spans="1:3" ht="15" thickBot="1" x14ac:dyDescent="0.4">
      <c r="A103" s="53" t="s">
        <v>49</v>
      </c>
      <c r="B103" s="55">
        <v>700</v>
      </c>
      <c r="C103" s="59">
        <v>6.5869953891032279E-3</v>
      </c>
    </row>
    <row r="104" spans="1:3" ht="15" thickBot="1" x14ac:dyDescent="0.4">
      <c r="A104" s="81" t="s">
        <v>14</v>
      </c>
      <c r="B104" s="55">
        <v>700</v>
      </c>
      <c r="C104" s="59">
        <v>6.5869953891032279E-3</v>
      </c>
    </row>
    <row r="105" spans="1:3" ht="15" thickBot="1" x14ac:dyDescent="0.4">
      <c r="A105" s="82" t="s">
        <v>259</v>
      </c>
      <c r="B105" s="55">
        <v>300</v>
      </c>
      <c r="C105" s="59">
        <v>2.8229980239013832E-3</v>
      </c>
    </row>
    <row r="106" spans="1:3" ht="15" thickBot="1" x14ac:dyDescent="0.4">
      <c r="A106" s="82" t="s">
        <v>260</v>
      </c>
      <c r="B106" s="55">
        <v>400</v>
      </c>
      <c r="C106" s="59">
        <v>3.7639973652018443E-3</v>
      </c>
    </row>
    <row r="107" spans="1:3" ht="15" thickBot="1" x14ac:dyDescent="0.4">
      <c r="A107" s="53" t="s">
        <v>48</v>
      </c>
      <c r="B107" s="55">
        <v>500</v>
      </c>
      <c r="C107" s="59">
        <v>4.7049967065023058E-3</v>
      </c>
    </row>
    <row r="108" spans="1:3" ht="15" thickBot="1" x14ac:dyDescent="0.4">
      <c r="A108" s="81" t="s">
        <v>14</v>
      </c>
      <c r="B108" s="55">
        <v>500</v>
      </c>
      <c r="C108" s="59">
        <v>4.7049967065023058E-3</v>
      </c>
    </row>
    <row r="109" spans="1:3" ht="15" thickBot="1" x14ac:dyDescent="0.4">
      <c r="A109" s="82" t="s">
        <v>260</v>
      </c>
      <c r="B109" s="55">
        <v>500</v>
      </c>
      <c r="C109" s="59">
        <v>4.7049967065023058E-3</v>
      </c>
    </row>
    <row r="110" spans="1:3" ht="15" thickBot="1" x14ac:dyDescent="0.4">
      <c r="A110" s="53" t="s">
        <v>71</v>
      </c>
      <c r="B110" s="55">
        <v>300</v>
      </c>
      <c r="C110" s="59">
        <v>2.8229980239013832E-3</v>
      </c>
    </row>
    <row r="111" spans="1:3" ht="15" thickBot="1" x14ac:dyDescent="0.4">
      <c r="A111" s="81" t="s">
        <v>14</v>
      </c>
      <c r="B111" s="55">
        <v>300</v>
      </c>
      <c r="C111" s="59">
        <v>2.8229980239013832E-3</v>
      </c>
    </row>
    <row r="112" spans="1:3" ht="15" thickBot="1" x14ac:dyDescent="0.4">
      <c r="A112" s="82" t="s">
        <v>259</v>
      </c>
      <c r="B112" s="55">
        <v>300</v>
      </c>
      <c r="C112" s="59">
        <v>2.8229980239013832E-3</v>
      </c>
    </row>
    <row r="113" spans="1:3" ht="15" thickBot="1" x14ac:dyDescent="0.4">
      <c r="A113" s="53" t="s">
        <v>57</v>
      </c>
      <c r="B113" s="55">
        <v>200</v>
      </c>
      <c r="C113" s="59">
        <v>1.8819986826009221E-3</v>
      </c>
    </row>
    <row r="114" spans="1:3" ht="15" thickBot="1" x14ac:dyDescent="0.4">
      <c r="A114" s="81" t="s">
        <v>14</v>
      </c>
      <c r="B114" s="55">
        <v>200</v>
      </c>
      <c r="C114" s="59">
        <v>1.8819986826009221E-3</v>
      </c>
    </row>
    <row r="115" spans="1:3" ht="15" thickBot="1" x14ac:dyDescent="0.4">
      <c r="A115" s="82" t="s">
        <v>217</v>
      </c>
      <c r="B115" s="55">
        <v>200</v>
      </c>
      <c r="C115" s="59">
        <v>1.8819986826009221E-3</v>
      </c>
    </row>
    <row r="116" spans="1:3" ht="15" thickBot="1" x14ac:dyDescent="0.4">
      <c r="A116" s="53" t="s">
        <v>54</v>
      </c>
      <c r="B116" s="55">
        <v>200</v>
      </c>
      <c r="C116" s="59">
        <v>1.8819986826009221E-3</v>
      </c>
    </row>
    <row r="117" spans="1:3" ht="15" thickBot="1" x14ac:dyDescent="0.4">
      <c r="A117" s="81" t="s">
        <v>14</v>
      </c>
      <c r="B117" s="55">
        <v>200</v>
      </c>
      <c r="C117" s="59">
        <v>1.8819986826009221E-3</v>
      </c>
    </row>
    <row r="118" spans="1:3" ht="15" thickBot="1" x14ac:dyDescent="0.4">
      <c r="A118" s="82" t="s">
        <v>217</v>
      </c>
      <c r="B118" s="55">
        <v>200</v>
      </c>
      <c r="C118" s="59">
        <v>1.8819986826009221E-3</v>
      </c>
    </row>
    <row r="119" spans="1:3" ht="15" thickBot="1" x14ac:dyDescent="0.4">
      <c r="A119" s="53" t="s">
        <v>203</v>
      </c>
      <c r="B119" s="55">
        <v>200</v>
      </c>
      <c r="C119" s="59">
        <v>1.8819986826009221E-3</v>
      </c>
    </row>
    <row r="120" spans="1:3" ht="15" thickBot="1" x14ac:dyDescent="0.4">
      <c r="A120" s="81" t="s">
        <v>14</v>
      </c>
      <c r="B120" s="55">
        <v>200</v>
      </c>
      <c r="C120" s="59">
        <v>1.8819986826009221E-3</v>
      </c>
    </row>
    <row r="121" spans="1:3" ht="15" thickBot="1" x14ac:dyDescent="0.4">
      <c r="A121" s="82" t="s">
        <v>259</v>
      </c>
      <c r="B121" s="55">
        <v>200</v>
      </c>
      <c r="C121" s="59">
        <v>1.8819986826009221E-3</v>
      </c>
    </row>
    <row r="122" spans="1:3" ht="15" thickBot="1" x14ac:dyDescent="0.4">
      <c r="A122" s="53" t="s">
        <v>58</v>
      </c>
      <c r="B122" s="55">
        <v>100</v>
      </c>
      <c r="C122" s="59">
        <v>9.4099934130046107E-4</v>
      </c>
    </row>
    <row r="123" spans="1:3" ht="15" thickBot="1" x14ac:dyDescent="0.4">
      <c r="A123" s="81" t="s">
        <v>14</v>
      </c>
      <c r="B123" s="55">
        <v>100</v>
      </c>
      <c r="C123" s="59">
        <v>9.4099934130046107E-4</v>
      </c>
    </row>
    <row r="124" spans="1:3" ht="15" thickBot="1" x14ac:dyDescent="0.4">
      <c r="A124" s="82" t="s">
        <v>259</v>
      </c>
      <c r="B124" s="55">
        <v>100</v>
      </c>
      <c r="C124" s="59">
        <v>9.4099934130046107E-4</v>
      </c>
    </row>
    <row r="125" spans="1:3" ht="15" thickBot="1" x14ac:dyDescent="0.4">
      <c r="A125" s="64">
        <v>45852</v>
      </c>
      <c r="B125" s="55">
        <v>6300</v>
      </c>
      <c r="C125" s="59">
        <v>5.9282958501929051E-2</v>
      </c>
    </row>
    <row r="126" spans="1:3" ht="15" thickBot="1" x14ac:dyDescent="0.4">
      <c r="A126" s="80" t="s">
        <v>19</v>
      </c>
      <c r="B126" s="55">
        <v>6300</v>
      </c>
      <c r="C126" s="59">
        <v>5.9282958501929051E-2</v>
      </c>
    </row>
    <row r="127" spans="1:3" ht="15" thickBot="1" x14ac:dyDescent="0.4">
      <c r="A127" s="53" t="s">
        <v>64</v>
      </c>
      <c r="B127" s="55">
        <v>4000</v>
      </c>
      <c r="C127" s="59">
        <v>3.7639973652018446E-2</v>
      </c>
    </row>
    <row r="128" spans="1:3" ht="15" thickBot="1" x14ac:dyDescent="0.4">
      <c r="A128" s="81" t="s">
        <v>14</v>
      </c>
      <c r="B128" s="55">
        <v>4000</v>
      </c>
      <c r="C128" s="59">
        <v>3.7639973652018446E-2</v>
      </c>
    </row>
    <row r="129" spans="1:3" ht="15" thickBot="1" x14ac:dyDescent="0.4">
      <c r="A129" s="82" t="s">
        <v>262</v>
      </c>
      <c r="B129" s="55">
        <v>4000</v>
      </c>
      <c r="C129" s="59">
        <v>3.7639973652018446E-2</v>
      </c>
    </row>
    <row r="130" spans="1:3" ht="15" thickBot="1" x14ac:dyDescent="0.4">
      <c r="A130" s="53" t="s">
        <v>215</v>
      </c>
      <c r="B130" s="55">
        <v>500</v>
      </c>
      <c r="C130" s="59">
        <v>4.7049967065023058E-3</v>
      </c>
    </row>
    <row r="131" spans="1:3" ht="15" thickBot="1" x14ac:dyDescent="0.4">
      <c r="A131" s="81" t="s">
        <v>14</v>
      </c>
      <c r="B131" s="55">
        <v>500</v>
      </c>
      <c r="C131" s="59">
        <v>4.7049967065023058E-3</v>
      </c>
    </row>
    <row r="132" spans="1:3" ht="15" thickBot="1" x14ac:dyDescent="0.4">
      <c r="A132" s="82" t="s">
        <v>262</v>
      </c>
      <c r="B132" s="55">
        <v>500</v>
      </c>
      <c r="C132" s="59">
        <v>4.7049967065023058E-3</v>
      </c>
    </row>
    <row r="133" spans="1:3" ht="15" thickBot="1" x14ac:dyDescent="0.4">
      <c r="A133" s="53" t="s">
        <v>48</v>
      </c>
      <c r="B133" s="55">
        <v>500</v>
      </c>
      <c r="C133" s="59">
        <v>4.7049967065023058E-3</v>
      </c>
    </row>
    <row r="134" spans="1:3" ht="15" thickBot="1" x14ac:dyDescent="0.4">
      <c r="A134" s="81" t="s">
        <v>14</v>
      </c>
      <c r="B134" s="55">
        <v>500</v>
      </c>
      <c r="C134" s="59">
        <v>4.7049967065023058E-3</v>
      </c>
    </row>
    <row r="135" spans="1:3" ht="15" thickBot="1" x14ac:dyDescent="0.4">
      <c r="A135" s="82" t="s">
        <v>262</v>
      </c>
      <c r="B135" s="55">
        <v>500</v>
      </c>
      <c r="C135" s="59">
        <v>4.7049967065023058E-3</v>
      </c>
    </row>
    <row r="136" spans="1:3" ht="15" thickBot="1" x14ac:dyDescent="0.4">
      <c r="A136" s="53" t="s">
        <v>49</v>
      </c>
      <c r="B136" s="55">
        <v>500</v>
      </c>
      <c r="C136" s="59">
        <v>4.7049967065023058E-3</v>
      </c>
    </row>
    <row r="137" spans="1:3" ht="15" thickBot="1" x14ac:dyDescent="0.4">
      <c r="A137" s="81" t="s">
        <v>14</v>
      </c>
      <c r="B137" s="55">
        <v>500</v>
      </c>
      <c r="C137" s="59">
        <v>4.7049967065023058E-3</v>
      </c>
    </row>
    <row r="138" spans="1:3" ht="15" thickBot="1" x14ac:dyDescent="0.4">
      <c r="A138" s="82" t="s">
        <v>262</v>
      </c>
      <c r="B138" s="55">
        <v>500</v>
      </c>
      <c r="C138" s="59">
        <v>4.7049967065023058E-3</v>
      </c>
    </row>
    <row r="139" spans="1:3" ht="15" thickBot="1" x14ac:dyDescent="0.4">
      <c r="A139" s="53" t="s">
        <v>71</v>
      </c>
      <c r="B139" s="55">
        <v>300</v>
      </c>
      <c r="C139" s="59">
        <v>2.8229980239013832E-3</v>
      </c>
    </row>
    <row r="140" spans="1:3" ht="15" thickBot="1" x14ac:dyDescent="0.4">
      <c r="A140" s="81" t="s">
        <v>14</v>
      </c>
      <c r="B140" s="55">
        <v>300</v>
      </c>
      <c r="C140" s="59">
        <v>2.8229980239013832E-3</v>
      </c>
    </row>
    <row r="141" spans="1:3" ht="15" thickBot="1" x14ac:dyDescent="0.4">
      <c r="A141" s="82" t="s">
        <v>262</v>
      </c>
      <c r="B141" s="55">
        <v>300</v>
      </c>
      <c r="C141" s="59">
        <v>2.8229980239013832E-3</v>
      </c>
    </row>
    <row r="142" spans="1:3" ht="15" thickBot="1" x14ac:dyDescent="0.4">
      <c r="A142" s="53" t="s">
        <v>54</v>
      </c>
      <c r="B142" s="55">
        <v>300</v>
      </c>
      <c r="C142" s="59">
        <v>2.8229980239013832E-3</v>
      </c>
    </row>
    <row r="143" spans="1:3" ht="15" thickBot="1" x14ac:dyDescent="0.4">
      <c r="A143" s="81" t="s">
        <v>14</v>
      </c>
      <c r="B143" s="55">
        <v>300</v>
      </c>
      <c r="C143" s="59">
        <v>2.8229980239013832E-3</v>
      </c>
    </row>
    <row r="144" spans="1:3" ht="15" thickBot="1" x14ac:dyDescent="0.4">
      <c r="A144" s="82" t="s">
        <v>261</v>
      </c>
      <c r="B144" s="55">
        <v>300</v>
      </c>
      <c r="C144" s="59">
        <v>2.8229980239013832E-3</v>
      </c>
    </row>
    <row r="145" spans="1:3" ht="15" thickBot="1" x14ac:dyDescent="0.4">
      <c r="A145" s="53" t="s">
        <v>203</v>
      </c>
      <c r="B145" s="55">
        <v>200</v>
      </c>
      <c r="C145" s="59">
        <v>1.8819986826009221E-3</v>
      </c>
    </row>
    <row r="146" spans="1:3" ht="15" thickBot="1" x14ac:dyDescent="0.4">
      <c r="A146" s="81" t="s">
        <v>14</v>
      </c>
      <c r="B146" s="55">
        <v>200</v>
      </c>
      <c r="C146" s="59">
        <v>1.8819986826009221E-3</v>
      </c>
    </row>
    <row r="147" spans="1:3" ht="15" thickBot="1" x14ac:dyDescent="0.4">
      <c r="A147" s="82" t="s">
        <v>262</v>
      </c>
      <c r="B147" s="55">
        <v>200</v>
      </c>
      <c r="C147" s="59">
        <v>1.8819986826009221E-3</v>
      </c>
    </row>
    <row r="148" spans="1:3" ht="15" thickBot="1" x14ac:dyDescent="0.4">
      <c r="A148" s="64">
        <v>45853</v>
      </c>
      <c r="B148" s="55">
        <v>3860</v>
      </c>
      <c r="C148" s="59">
        <v>3.6322574574197797E-2</v>
      </c>
    </row>
    <row r="149" spans="1:3" ht="15" thickBot="1" x14ac:dyDescent="0.4">
      <c r="A149" s="80" t="s">
        <v>19</v>
      </c>
      <c r="B149" s="55">
        <v>3860</v>
      </c>
      <c r="C149" s="59">
        <v>3.6322574574197797E-2</v>
      </c>
    </row>
    <row r="150" spans="1:3" ht="15" thickBot="1" x14ac:dyDescent="0.4">
      <c r="A150" s="53" t="s">
        <v>57</v>
      </c>
      <c r="B150" s="55">
        <v>1300</v>
      </c>
      <c r="C150" s="59">
        <v>1.2232991436905994E-2</v>
      </c>
    </row>
    <row r="151" spans="1:3" ht="15" thickBot="1" x14ac:dyDescent="0.4">
      <c r="A151" s="81" t="s">
        <v>14</v>
      </c>
      <c r="B151" s="55">
        <v>1300</v>
      </c>
      <c r="C151" s="59">
        <v>1.2232991436905994E-2</v>
      </c>
    </row>
    <row r="152" spans="1:3" ht="15" thickBot="1" x14ac:dyDescent="0.4">
      <c r="A152" s="82" t="s">
        <v>263</v>
      </c>
      <c r="B152" s="55">
        <v>100</v>
      </c>
      <c r="C152" s="59">
        <v>9.4099934130046107E-4</v>
      </c>
    </row>
    <row r="153" spans="1:3" ht="15" thickBot="1" x14ac:dyDescent="0.4">
      <c r="A153" s="82" t="s">
        <v>264</v>
      </c>
      <c r="B153" s="55">
        <v>500</v>
      </c>
      <c r="C153" s="59">
        <v>4.7049967065023058E-3</v>
      </c>
    </row>
    <row r="154" spans="1:3" ht="15" thickBot="1" x14ac:dyDescent="0.4">
      <c r="A154" s="82" t="s">
        <v>265</v>
      </c>
      <c r="B154" s="55">
        <v>200</v>
      </c>
      <c r="C154" s="59">
        <v>1.8819986826009221E-3</v>
      </c>
    </row>
    <row r="155" spans="1:3" ht="15" thickBot="1" x14ac:dyDescent="0.4">
      <c r="A155" s="82" t="s">
        <v>266</v>
      </c>
      <c r="B155" s="55">
        <v>500</v>
      </c>
      <c r="C155" s="59">
        <v>4.7049967065023058E-3</v>
      </c>
    </row>
    <row r="156" spans="1:3" ht="15" thickBot="1" x14ac:dyDescent="0.4">
      <c r="A156" s="53" t="s">
        <v>54</v>
      </c>
      <c r="B156" s="55">
        <v>1300</v>
      </c>
      <c r="C156" s="59">
        <v>1.2232991436905994E-2</v>
      </c>
    </row>
    <row r="157" spans="1:3" ht="15" thickBot="1" x14ac:dyDescent="0.4">
      <c r="A157" s="81" t="s">
        <v>14</v>
      </c>
      <c r="B157" s="55">
        <v>1300</v>
      </c>
      <c r="C157" s="59">
        <v>1.2232991436905994E-2</v>
      </c>
    </row>
    <row r="158" spans="1:3" ht="15" thickBot="1" x14ac:dyDescent="0.4">
      <c r="A158" s="82" t="s">
        <v>263</v>
      </c>
      <c r="B158" s="55">
        <v>200</v>
      </c>
      <c r="C158" s="59">
        <v>1.8819986826009221E-3</v>
      </c>
    </row>
    <row r="159" spans="1:3" ht="15" thickBot="1" x14ac:dyDescent="0.4">
      <c r="A159" s="82" t="s">
        <v>264</v>
      </c>
      <c r="B159" s="55">
        <v>500</v>
      </c>
      <c r="C159" s="59">
        <v>4.7049967065023058E-3</v>
      </c>
    </row>
    <row r="160" spans="1:3" ht="15" thickBot="1" x14ac:dyDescent="0.4">
      <c r="A160" s="82" t="s">
        <v>266</v>
      </c>
      <c r="B160" s="55">
        <v>500</v>
      </c>
      <c r="C160" s="59">
        <v>4.7049967065023058E-3</v>
      </c>
    </row>
    <row r="161" spans="1:3" ht="15" thickBot="1" x14ac:dyDescent="0.4">
      <c r="A161" s="82" t="s">
        <v>267</v>
      </c>
      <c r="B161" s="55">
        <v>100</v>
      </c>
      <c r="C161" s="59">
        <v>9.4099934130046107E-4</v>
      </c>
    </row>
    <row r="162" spans="1:3" ht="15" thickBot="1" x14ac:dyDescent="0.4">
      <c r="A162" s="53" t="s">
        <v>65</v>
      </c>
      <c r="B162" s="55">
        <v>1000</v>
      </c>
      <c r="C162" s="59">
        <v>9.4099934130046116E-3</v>
      </c>
    </row>
    <row r="163" spans="1:3" ht="15" thickBot="1" x14ac:dyDescent="0.4">
      <c r="A163" s="81" t="s">
        <v>14</v>
      </c>
      <c r="B163" s="55">
        <v>1000</v>
      </c>
      <c r="C163" s="59">
        <v>9.4099934130046116E-3</v>
      </c>
    </row>
    <row r="164" spans="1:3" ht="15" thickBot="1" x14ac:dyDescent="0.4">
      <c r="A164" s="82" t="s">
        <v>263</v>
      </c>
      <c r="B164" s="55">
        <v>1000</v>
      </c>
      <c r="C164" s="59">
        <v>9.4099934130046116E-3</v>
      </c>
    </row>
    <row r="165" spans="1:3" ht="15" thickBot="1" x14ac:dyDescent="0.4">
      <c r="A165" s="53" t="s">
        <v>56</v>
      </c>
      <c r="B165" s="55">
        <v>200</v>
      </c>
      <c r="C165" s="59">
        <v>1.8819986826009221E-3</v>
      </c>
    </row>
    <row r="166" spans="1:3" ht="15" thickBot="1" x14ac:dyDescent="0.4">
      <c r="A166" s="81" t="s">
        <v>14</v>
      </c>
      <c r="B166" s="55">
        <v>200</v>
      </c>
      <c r="C166" s="59">
        <v>1.8819986826009221E-3</v>
      </c>
    </row>
    <row r="167" spans="1:3" ht="15" thickBot="1" x14ac:dyDescent="0.4">
      <c r="A167" s="82" t="s">
        <v>263</v>
      </c>
      <c r="B167" s="55">
        <v>200</v>
      </c>
      <c r="C167" s="59">
        <v>1.8819986826009221E-3</v>
      </c>
    </row>
    <row r="168" spans="1:3" ht="15" thickBot="1" x14ac:dyDescent="0.4">
      <c r="A168" s="53" t="s">
        <v>61</v>
      </c>
      <c r="B168" s="55">
        <v>60</v>
      </c>
      <c r="C168" s="59">
        <v>5.6459960478027669E-4</v>
      </c>
    </row>
    <row r="169" spans="1:3" ht="15" thickBot="1" x14ac:dyDescent="0.4">
      <c r="A169" s="81" t="s">
        <v>14</v>
      </c>
      <c r="B169" s="55">
        <v>60</v>
      </c>
      <c r="C169" s="59">
        <v>5.6459960478027669E-4</v>
      </c>
    </row>
    <row r="170" spans="1:3" ht="15" thickBot="1" x14ac:dyDescent="0.4">
      <c r="A170" s="82" t="s">
        <v>265</v>
      </c>
      <c r="B170" s="55">
        <v>60</v>
      </c>
      <c r="C170" s="59">
        <v>5.6459960478027669E-4</v>
      </c>
    </row>
    <row r="171" spans="1:3" ht="15" thickBot="1" x14ac:dyDescent="0.4">
      <c r="A171" s="64">
        <v>45854</v>
      </c>
      <c r="B171" s="55">
        <v>210</v>
      </c>
      <c r="C171" s="59">
        <v>1.9760986167309683E-3</v>
      </c>
    </row>
    <row r="172" spans="1:3" ht="15" thickBot="1" x14ac:dyDescent="0.4">
      <c r="A172" s="80" t="s">
        <v>19</v>
      </c>
      <c r="B172" s="55">
        <v>210</v>
      </c>
      <c r="C172" s="59">
        <v>1.9760986167309683E-3</v>
      </c>
    </row>
    <row r="173" spans="1:3" ht="15" thickBot="1" x14ac:dyDescent="0.4">
      <c r="A173" s="53" t="s">
        <v>54</v>
      </c>
      <c r="B173" s="55">
        <v>100</v>
      </c>
      <c r="C173" s="59">
        <v>9.4099934130046107E-4</v>
      </c>
    </row>
    <row r="174" spans="1:3" ht="15" thickBot="1" x14ac:dyDescent="0.4">
      <c r="A174" s="81" t="s">
        <v>14</v>
      </c>
      <c r="B174" s="55">
        <v>100</v>
      </c>
      <c r="C174" s="59">
        <v>9.4099934130046107E-4</v>
      </c>
    </row>
    <row r="175" spans="1:3" ht="15" thickBot="1" x14ac:dyDescent="0.4">
      <c r="A175" s="82" t="s">
        <v>268</v>
      </c>
      <c r="B175" s="55">
        <v>100</v>
      </c>
      <c r="C175" s="59">
        <v>9.4099934130046107E-4</v>
      </c>
    </row>
    <row r="176" spans="1:3" ht="15" thickBot="1" x14ac:dyDescent="0.4">
      <c r="A176" s="53" t="s">
        <v>57</v>
      </c>
      <c r="B176" s="55">
        <v>60</v>
      </c>
      <c r="C176" s="59">
        <v>5.6459960478027669E-4</v>
      </c>
    </row>
    <row r="177" spans="1:3" ht="15" thickBot="1" x14ac:dyDescent="0.4">
      <c r="A177" s="81" t="s">
        <v>14</v>
      </c>
      <c r="B177" s="55">
        <v>60</v>
      </c>
      <c r="C177" s="59">
        <v>5.6459960478027669E-4</v>
      </c>
    </row>
    <row r="178" spans="1:3" ht="15" thickBot="1" x14ac:dyDescent="0.4">
      <c r="A178" s="82" t="s">
        <v>268</v>
      </c>
      <c r="B178" s="55">
        <v>50</v>
      </c>
      <c r="C178" s="59">
        <v>4.7049967065023054E-4</v>
      </c>
    </row>
    <row r="179" spans="1:3" ht="15" thickBot="1" x14ac:dyDescent="0.4">
      <c r="A179" s="82" t="s">
        <v>269</v>
      </c>
      <c r="B179" s="55">
        <v>10</v>
      </c>
      <c r="C179" s="59">
        <v>9.409993413004611E-5</v>
      </c>
    </row>
    <row r="180" spans="1:3" ht="15" thickBot="1" x14ac:dyDescent="0.4">
      <c r="A180" s="53" t="s">
        <v>56</v>
      </c>
      <c r="B180" s="55">
        <v>50</v>
      </c>
      <c r="C180" s="59">
        <v>4.7049967065023054E-4</v>
      </c>
    </row>
    <row r="181" spans="1:3" ht="15" thickBot="1" x14ac:dyDescent="0.4">
      <c r="A181" s="81" t="s">
        <v>14</v>
      </c>
      <c r="B181" s="55">
        <v>50</v>
      </c>
      <c r="C181" s="59">
        <v>4.7049967065023054E-4</v>
      </c>
    </row>
    <row r="182" spans="1:3" ht="15" thickBot="1" x14ac:dyDescent="0.4">
      <c r="A182" s="82" t="s">
        <v>269</v>
      </c>
      <c r="B182" s="55">
        <v>50</v>
      </c>
      <c r="C182" s="59">
        <v>4.7049967065023054E-4</v>
      </c>
    </row>
    <row r="183" spans="1:3" ht="15" thickBot="1" x14ac:dyDescent="0.4">
      <c r="A183" s="64">
        <v>45855</v>
      </c>
      <c r="B183" s="55">
        <v>10300</v>
      </c>
      <c r="C183" s="59">
        <v>9.6922932153947497E-2</v>
      </c>
    </row>
    <row r="184" spans="1:3" ht="15" thickBot="1" x14ac:dyDescent="0.4">
      <c r="A184" s="80" t="s">
        <v>19</v>
      </c>
      <c r="B184" s="55">
        <v>10300</v>
      </c>
      <c r="C184" s="59">
        <v>9.6922932153947497E-2</v>
      </c>
    </row>
    <row r="185" spans="1:3" ht="15" thickBot="1" x14ac:dyDescent="0.4">
      <c r="A185" s="53" t="s">
        <v>65</v>
      </c>
      <c r="B185" s="55">
        <v>5000</v>
      </c>
      <c r="C185" s="59">
        <v>4.7049967065023054E-2</v>
      </c>
    </row>
    <row r="186" spans="1:3" ht="15" thickBot="1" x14ac:dyDescent="0.4">
      <c r="A186" s="81" t="s">
        <v>14</v>
      </c>
      <c r="B186" s="55">
        <v>5000</v>
      </c>
      <c r="C186" s="59">
        <v>4.7049967065023054E-2</v>
      </c>
    </row>
    <row r="187" spans="1:3" ht="15" thickBot="1" x14ac:dyDescent="0.4">
      <c r="A187" s="82" t="s">
        <v>257</v>
      </c>
      <c r="B187" s="55">
        <v>3000</v>
      </c>
      <c r="C187" s="59">
        <v>2.8229980239013831E-2</v>
      </c>
    </row>
    <row r="188" spans="1:3" ht="15" thickBot="1" x14ac:dyDescent="0.4">
      <c r="A188" s="82" t="s">
        <v>271</v>
      </c>
      <c r="B188" s="55">
        <v>2000</v>
      </c>
      <c r="C188" s="59">
        <v>1.8819986826009223E-2</v>
      </c>
    </row>
    <row r="189" spans="1:3" ht="15" thickBot="1" x14ac:dyDescent="0.4">
      <c r="A189" s="53" t="s">
        <v>64</v>
      </c>
      <c r="B189" s="55">
        <v>3000</v>
      </c>
      <c r="C189" s="59">
        <v>2.8229980239013831E-2</v>
      </c>
    </row>
    <row r="190" spans="1:3" ht="15" thickBot="1" x14ac:dyDescent="0.4">
      <c r="A190" s="81" t="s">
        <v>14</v>
      </c>
      <c r="B190" s="55">
        <v>3000</v>
      </c>
      <c r="C190" s="59">
        <v>2.8229980239013831E-2</v>
      </c>
    </row>
    <row r="191" spans="1:3" ht="15" thickBot="1" x14ac:dyDescent="0.4">
      <c r="A191" s="82" t="s">
        <v>257</v>
      </c>
      <c r="B191" s="55">
        <v>3000</v>
      </c>
      <c r="C191" s="59">
        <v>2.8229980239013831E-2</v>
      </c>
    </row>
    <row r="192" spans="1:3" ht="15" thickBot="1" x14ac:dyDescent="0.4">
      <c r="A192" s="53" t="s">
        <v>48</v>
      </c>
      <c r="B192" s="55">
        <v>1000</v>
      </c>
      <c r="C192" s="59">
        <v>9.4099934130046116E-3</v>
      </c>
    </row>
    <row r="193" spans="1:3" ht="15" thickBot="1" x14ac:dyDescent="0.4">
      <c r="A193" s="81" t="s">
        <v>14</v>
      </c>
      <c r="B193" s="55">
        <v>1000</v>
      </c>
      <c r="C193" s="59">
        <v>9.4099934130046116E-3</v>
      </c>
    </row>
    <row r="194" spans="1:3" ht="15" thickBot="1" x14ac:dyDescent="0.4">
      <c r="A194" s="82" t="s">
        <v>257</v>
      </c>
      <c r="B194" s="55">
        <v>500</v>
      </c>
      <c r="C194" s="59">
        <v>4.7049967065023058E-3</v>
      </c>
    </row>
    <row r="195" spans="1:3" ht="15" thickBot="1" x14ac:dyDescent="0.4">
      <c r="A195" s="82" t="s">
        <v>271</v>
      </c>
      <c r="B195" s="55">
        <v>500</v>
      </c>
      <c r="C195" s="59">
        <v>4.7049967065023058E-3</v>
      </c>
    </row>
    <row r="196" spans="1:3" ht="15" thickBot="1" x14ac:dyDescent="0.4">
      <c r="A196" s="53" t="s">
        <v>71</v>
      </c>
      <c r="B196" s="55">
        <v>500</v>
      </c>
      <c r="C196" s="59">
        <v>4.7049967065023058E-3</v>
      </c>
    </row>
    <row r="197" spans="1:3" ht="15" thickBot="1" x14ac:dyDescent="0.4">
      <c r="A197" s="81" t="s">
        <v>14</v>
      </c>
      <c r="B197" s="55">
        <v>500</v>
      </c>
      <c r="C197" s="59">
        <v>4.7049967065023058E-3</v>
      </c>
    </row>
    <row r="198" spans="1:3" ht="15" thickBot="1" x14ac:dyDescent="0.4">
      <c r="A198" s="82" t="s">
        <v>257</v>
      </c>
      <c r="B198" s="55">
        <v>300</v>
      </c>
      <c r="C198" s="59">
        <v>2.8229980239013832E-3</v>
      </c>
    </row>
    <row r="199" spans="1:3" ht="15" thickBot="1" x14ac:dyDescent="0.4">
      <c r="A199" s="82" t="s">
        <v>271</v>
      </c>
      <c r="B199" s="55">
        <v>200</v>
      </c>
      <c r="C199" s="59">
        <v>1.8819986826009221E-3</v>
      </c>
    </row>
    <row r="200" spans="1:3" ht="15" thickBot="1" x14ac:dyDescent="0.4">
      <c r="A200" s="53" t="s">
        <v>49</v>
      </c>
      <c r="B200" s="55">
        <v>400</v>
      </c>
      <c r="C200" s="59">
        <v>3.7639973652018443E-3</v>
      </c>
    </row>
    <row r="201" spans="1:3" ht="15" thickBot="1" x14ac:dyDescent="0.4">
      <c r="A201" s="81" t="s">
        <v>14</v>
      </c>
      <c r="B201" s="55">
        <v>400</v>
      </c>
      <c r="C201" s="59">
        <v>3.7639973652018443E-3</v>
      </c>
    </row>
    <row r="202" spans="1:3" ht="15" thickBot="1" x14ac:dyDescent="0.4">
      <c r="A202" s="82" t="s">
        <v>271</v>
      </c>
      <c r="B202" s="55">
        <v>400</v>
      </c>
      <c r="C202" s="59">
        <v>3.7639973652018443E-3</v>
      </c>
    </row>
    <row r="203" spans="1:3" ht="15" thickBot="1" x14ac:dyDescent="0.4">
      <c r="A203" s="53" t="s">
        <v>57</v>
      </c>
      <c r="B203" s="55">
        <v>200</v>
      </c>
      <c r="C203" s="59">
        <v>1.8819986826009221E-3</v>
      </c>
    </row>
    <row r="204" spans="1:3" ht="15" thickBot="1" x14ac:dyDescent="0.4">
      <c r="A204" s="81" t="s">
        <v>14</v>
      </c>
      <c r="B204" s="55">
        <v>200</v>
      </c>
      <c r="C204" s="59">
        <v>1.8819986826009221E-3</v>
      </c>
    </row>
    <row r="205" spans="1:3" ht="15" thickBot="1" x14ac:dyDescent="0.4">
      <c r="A205" s="82" t="s">
        <v>270</v>
      </c>
      <c r="B205" s="55">
        <v>200</v>
      </c>
      <c r="C205" s="59">
        <v>1.8819986826009221E-3</v>
      </c>
    </row>
    <row r="206" spans="1:3" ht="15" thickBot="1" x14ac:dyDescent="0.4">
      <c r="A206" s="53" t="s">
        <v>54</v>
      </c>
      <c r="B206" s="55">
        <v>200</v>
      </c>
      <c r="C206" s="59">
        <v>1.8819986826009221E-3</v>
      </c>
    </row>
    <row r="207" spans="1:3" ht="15" thickBot="1" x14ac:dyDescent="0.4">
      <c r="A207" s="81" t="s">
        <v>14</v>
      </c>
      <c r="B207" s="55">
        <v>200</v>
      </c>
      <c r="C207" s="59">
        <v>1.8819986826009221E-3</v>
      </c>
    </row>
    <row r="208" spans="1:3" ht="15" thickBot="1" x14ac:dyDescent="0.4">
      <c r="A208" s="82" t="s">
        <v>270</v>
      </c>
      <c r="B208" s="55">
        <v>200</v>
      </c>
      <c r="C208" s="59">
        <v>1.8819986826009221E-3</v>
      </c>
    </row>
    <row r="209" spans="1:3" ht="15" thickBot="1" x14ac:dyDescent="0.4">
      <c r="A209" s="64">
        <v>45856</v>
      </c>
      <c r="B209" s="55">
        <v>4000</v>
      </c>
      <c r="C209" s="59">
        <v>3.7639973652018446E-2</v>
      </c>
    </row>
    <row r="210" spans="1:3" ht="15" thickBot="1" x14ac:dyDescent="0.4">
      <c r="A210" s="80" t="s">
        <v>19</v>
      </c>
      <c r="B210" s="55">
        <v>4000</v>
      </c>
      <c r="C210" s="59">
        <v>3.7639973652018446E-2</v>
      </c>
    </row>
    <row r="211" spans="1:3" ht="15" thickBot="1" x14ac:dyDescent="0.4">
      <c r="A211" s="53" t="s">
        <v>65</v>
      </c>
      <c r="B211" s="55">
        <v>3000</v>
      </c>
      <c r="C211" s="59">
        <v>2.8229980239013831E-2</v>
      </c>
    </row>
    <row r="212" spans="1:3" ht="15" thickBot="1" x14ac:dyDescent="0.4">
      <c r="A212" s="81" t="s">
        <v>14</v>
      </c>
      <c r="B212" s="55">
        <v>3000</v>
      </c>
      <c r="C212" s="59">
        <v>2.8229980239013831E-2</v>
      </c>
    </row>
    <row r="213" spans="1:3" ht="15" thickBot="1" x14ac:dyDescent="0.4">
      <c r="A213" s="82" t="s">
        <v>256</v>
      </c>
      <c r="B213" s="55">
        <v>3000</v>
      </c>
      <c r="C213" s="59">
        <v>2.8229980239013831E-2</v>
      </c>
    </row>
    <row r="214" spans="1:3" ht="15" thickBot="1" x14ac:dyDescent="0.4">
      <c r="A214" s="53" t="s">
        <v>215</v>
      </c>
      <c r="B214" s="55">
        <v>300</v>
      </c>
      <c r="C214" s="59">
        <v>2.8229980239013832E-3</v>
      </c>
    </row>
    <row r="215" spans="1:3" ht="15" thickBot="1" x14ac:dyDescent="0.4">
      <c r="A215" s="81" t="s">
        <v>14</v>
      </c>
      <c r="B215" s="55">
        <v>300</v>
      </c>
      <c r="C215" s="59">
        <v>2.8229980239013832E-3</v>
      </c>
    </row>
    <row r="216" spans="1:3" ht="15" thickBot="1" x14ac:dyDescent="0.4">
      <c r="A216" s="82" t="s">
        <v>272</v>
      </c>
      <c r="B216" s="55">
        <v>300</v>
      </c>
      <c r="C216" s="59">
        <v>2.8229980239013832E-3</v>
      </c>
    </row>
    <row r="217" spans="1:3" ht="15" thickBot="1" x14ac:dyDescent="0.4">
      <c r="A217" s="53" t="s">
        <v>49</v>
      </c>
      <c r="B217" s="55">
        <v>300</v>
      </c>
      <c r="C217" s="59">
        <v>2.8229980239013832E-3</v>
      </c>
    </row>
    <row r="218" spans="1:3" ht="15" thickBot="1" x14ac:dyDescent="0.4">
      <c r="A218" s="81" t="s">
        <v>14</v>
      </c>
      <c r="B218" s="55">
        <v>300</v>
      </c>
      <c r="C218" s="59">
        <v>2.8229980239013832E-3</v>
      </c>
    </row>
    <row r="219" spans="1:3" ht="15" thickBot="1" x14ac:dyDescent="0.4">
      <c r="A219" s="82" t="s">
        <v>272</v>
      </c>
      <c r="B219" s="55">
        <v>300</v>
      </c>
      <c r="C219" s="59">
        <v>2.8229980239013832E-3</v>
      </c>
    </row>
    <row r="220" spans="1:3" ht="15" thickBot="1" x14ac:dyDescent="0.4">
      <c r="A220" s="53" t="s">
        <v>71</v>
      </c>
      <c r="B220" s="55">
        <v>200</v>
      </c>
      <c r="C220" s="59">
        <v>1.8819986826009221E-3</v>
      </c>
    </row>
    <row r="221" spans="1:3" ht="15" thickBot="1" x14ac:dyDescent="0.4">
      <c r="A221" s="81" t="s">
        <v>14</v>
      </c>
      <c r="B221" s="55">
        <v>200</v>
      </c>
      <c r="C221" s="59">
        <v>1.8819986826009221E-3</v>
      </c>
    </row>
    <row r="222" spans="1:3" ht="15" thickBot="1" x14ac:dyDescent="0.4">
      <c r="A222" s="82" t="s">
        <v>272</v>
      </c>
      <c r="B222" s="55">
        <v>200</v>
      </c>
      <c r="C222" s="59">
        <v>1.8819986826009221E-3</v>
      </c>
    </row>
    <row r="223" spans="1:3" ht="15" thickBot="1" x14ac:dyDescent="0.4">
      <c r="A223" s="53" t="s">
        <v>203</v>
      </c>
      <c r="B223" s="55">
        <v>200</v>
      </c>
      <c r="C223" s="59">
        <v>1.8819986826009221E-3</v>
      </c>
    </row>
    <row r="224" spans="1:3" ht="15" thickBot="1" x14ac:dyDescent="0.4">
      <c r="A224" s="81" t="s">
        <v>14</v>
      </c>
      <c r="B224" s="55">
        <v>200</v>
      </c>
      <c r="C224" s="59">
        <v>1.8819986826009221E-3</v>
      </c>
    </row>
    <row r="225" spans="1:3" ht="15" thickBot="1" x14ac:dyDescent="0.4">
      <c r="A225" s="82" t="s">
        <v>272</v>
      </c>
      <c r="B225" s="55">
        <v>200</v>
      </c>
      <c r="C225" s="59">
        <v>1.8819986826009221E-3</v>
      </c>
    </row>
    <row r="226" spans="1:3" ht="15" thickBot="1" x14ac:dyDescent="0.4">
      <c r="A226" s="64">
        <v>45859</v>
      </c>
      <c r="B226" s="55">
        <v>5000</v>
      </c>
      <c r="C226" s="59">
        <v>4.7049967065023054E-2</v>
      </c>
    </row>
    <row r="227" spans="1:3" ht="15" thickBot="1" x14ac:dyDescent="0.4">
      <c r="A227" s="80" t="s">
        <v>19</v>
      </c>
      <c r="B227" s="55">
        <v>5000</v>
      </c>
      <c r="C227" s="59">
        <v>4.7049967065023054E-2</v>
      </c>
    </row>
    <row r="228" spans="1:3" ht="15" thickBot="1" x14ac:dyDescent="0.4">
      <c r="A228" s="53" t="s">
        <v>64</v>
      </c>
      <c r="B228" s="55">
        <v>2000</v>
      </c>
      <c r="C228" s="59">
        <v>1.8819986826009223E-2</v>
      </c>
    </row>
    <row r="229" spans="1:3" ht="15" thickBot="1" x14ac:dyDescent="0.4">
      <c r="A229" s="81" t="s">
        <v>14</v>
      </c>
      <c r="B229" s="55">
        <v>2000</v>
      </c>
      <c r="C229" s="59">
        <v>1.8819986826009223E-2</v>
      </c>
    </row>
    <row r="230" spans="1:3" ht="15" thickBot="1" x14ac:dyDescent="0.4">
      <c r="A230" s="82" t="s">
        <v>274</v>
      </c>
      <c r="B230" s="55">
        <v>2000</v>
      </c>
      <c r="C230" s="59">
        <v>1.8819986826009223E-2</v>
      </c>
    </row>
    <row r="231" spans="1:3" ht="15" thickBot="1" x14ac:dyDescent="0.4">
      <c r="A231" s="53" t="s">
        <v>49</v>
      </c>
      <c r="B231" s="55">
        <v>1100</v>
      </c>
      <c r="C231" s="59">
        <v>1.0350992754305071E-2</v>
      </c>
    </row>
    <row r="232" spans="1:3" ht="15" thickBot="1" x14ac:dyDescent="0.4">
      <c r="A232" s="81" t="s">
        <v>14</v>
      </c>
      <c r="B232" s="55">
        <v>1100</v>
      </c>
      <c r="C232" s="59">
        <v>1.0350992754305071E-2</v>
      </c>
    </row>
    <row r="233" spans="1:3" ht="15" thickBot="1" x14ac:dyDescent="0.4">
      <c r="A233" s="82" t="s">
        <v>274</v>
      </c>
      <c r="B233" s="55">
        <v>300</v>
      </c>
      <c r="C233" s="59">
        <v>2.8229980239013832E-3</v>
      </c>
    </row>
    <row r="234" spans="1:3" ht="15" thickBot="1" x14ac:dyDescent="0.4">
      <c r="A234" s="82" t="s">
        <v>253</v>
      </c>
      <c r="B234" s="55">
        <v>300</v>
      </c>
      <c r="C234" s="59">
        <v>2.8229980239013832E-3</v>
      </c>
    </row>
    <row r="235" spans="1:3" ht="15" thickBot="1" x14ac:dyDescent="0.4">
      <c r="A235" s="82" t="s">
        <v>273</v>
      </c>
      <c r="B235" s="55">
        <v>500</v>
      </c>
      <c r="C235" s="59">
        <v>4.7049967065023058E-3</v>
      </c>
    </row>
    <row r="236" spans="1:3" ht="15" thickBot="1" x14ac:dyDescent="0.4">
      <c r="A236" s="53" t="s">
        <v>65</v>
      </c>
      <c r="B236" s="55">
        <v>1000</v>
      </c>
      <c r="C236" s="59">
        <v>9.4099934130046116E-3</v>
      </c>
    </row>
    <row r="237" spans="1:3" ht="15" thickBot="1" x14ac:dyDescent="0.4">
      <c r="A237" s="81" t="s">
        <v>14</v>
      </c>
      <c r="B237" s="55">
        <v>1000</v>
      </c>
      <c r="C237" s="59">
        <v>9.4099934130046116E-3</v>
      </c>
    </row>
    <row r="238" spans="1:3" ht="15" thickBot="1" x14ac:dyDescent="0.4">
      <c r="A238" s="82" t="s">
        <v>274</v>
      </c>
      <c r="B238" s="55">
        <v>1000</v>
      </c>
      <c r="C238" s="59">
        <v>9.4099934130046116E-3</v>
      </c>
    </row>
    <row r="239" spans="1:3" ht="15" thickBot="1" x14ac:dyDescent="0.4">
      <c r="A239" s="53" t="s">
        <v>215</v>
      </c>
      <c r="B239" s="55">
        <v>500</v>
      </c>
      <c r="C239" s="59">
        <v>4.7049967065023058E-3</v>
      </c>
    </row>
    <row r="240" spans="1:3" ht="15" thickBot="1" x14ac:dyDescent="0.4">
      <c r="A240" s="81" t="s">
        <v>14</v>
      </c>
      <c r="B240" s="55">
        <v>500</v>
      </c>
      <c r="C240" s="59">
        <v>4.7049967065023058E-3</v>
      </c>
    </row>
    <row r="241" spans="1:3" ht="15" thickBot="1" x14ac:dyDescent="0.4">
      <c r="A241" s="82" t="s">
        <v>274</v>
      </c>
      <c r="B241" s="55">
        <v>500</v>
      </c>
      <c r="C241" s="59">
        <v>4.7049967065023058E-3</v>
      </c>
    </row>
    <row r="242" spans="1:3" ht="15" thickBot="1" x14ac:dyDescent="0.4">
      <c r="A242" s="53" t="s">
        <v>71</v>
      </c>
      <c r="B242" s="55">
        <v>300</v>
      </c>
      <c r="C242" s="59">
        <v>2.8229980239013832E-3</v>
      </c>
    </row>
    <row r="243" spans="1:3" ht="15" thickBot="1" x14ac:dyDescent="0.4">
      <c r="A243" s="81" t="s">
        <v>14</v>
      </c>
      <c r="B243" s="55">
        <v>300</v>
      </c>
      <c r="C243" s="59">
        <v>2.8229980239013832E-3</v>
      </c>
    </row>
    <row r="244" spans="1:3" ht="15" thickBot="1" x14ac:dyDescent="0.4">
      <c r="A244" s="82" t="s">
        <v>253</v>
      </c>
      <c r="B244" s="55">
        <v>300</v>
      </c>
      <c r="C244" s="59">
        <v>2.8229980239013832E-3</v>
      </c>
    </row>
    <row r="245" spans="1:3" ht="15" thickBot="1" x14ac:dyDescent="0.4">
      <c r="A245" s="53" t="s">
        <v>203</v>
      </c>
      <c r="B245" s="55">
        <v>100</v>
      </c>
      <c r="C245" s="59">
        <v>9.4099934130046107E-4</v>
      </c>
    </row>
    <row r="246" spans="1:3" ht="15" thickBot="1" x14ac:dyDescent="0.4">
      <c r="A246" s="81" t="s">
        <v>14</v>
      </c>
      <c r="B246" s="55">
        <v>100</v>
      </c>
      <c r="C246" s="59">
        <v>9.4099934130046107E-4</v>
      </c>
    </row>
    <row r="247" spans="1:3" ht="15" thickBot="1" x14ac:dyDescent="0.4">
      <c r="A247" s="82" t="s">
        <v>274</v>
      </c>
      <c r="B247" s="55">
        <v>100</v>
      </c>
      <c r="C247" s="59">
        <v>9.4099934130046107E-4</v>
      </c>
    </row>
    <row r="248" spans="1:3" ht="15" thickBot="1" x14ac:dyDescent="0.4">
      <c r="A248" s="64">
        <v>45860</v>
      </c>
      <c r="B248" s="55">
        <v>22570</v>
      </c>
      <c r="C248" s="59">
        <v>0.21238355133151407</v>
      </c>
    </row>
    <row r="249" spans="1:3" ht="15" thickBot="1" x14ac:dyDescent="0.4">
      <c r="A249" s="80" t="s">
        <v>19</v>
      </c>
      <c r="B249" s="55">
        <v>22570</v>
      </c>
      <c r="C249" s="59">
        <v>0.21238355133151407</v>
      </c>
    </row>
    <row r="250" spans="1:3" ht="15" thickBot="1" x14ac:dyDescent="0.4">
      <c r="A250" s="53" t="s">
        <v>65</v>
      </c>
      <c r="B250" s="55">
        <v>13000</v>
      </c>
      <c r="C250" s="59">
        <v>0.12232991436905995</v>
      </c>
    </row>
    <row r="251" spans="1:3" ht="15" thickBot="1" x14ac:dyDescent="0.4">
      <c r="A251" s="81" t="s">
        <v>14</v>
      </c>
      <c r="B251" s="55">
        <v>13000</v>
      </c>
      <c r="C251" s="59">
        <v>0.12232991436905995</v>
      </c>
    </row>
    <row r="252" spans="1:3" ht="15" thickBot="1" x14ac:dyDescent="0.4">
      <c r="A252" s="82" t="s">
        <v>279</v>
      </c>
      <c r="B252" s="55">
        <v>4000</v>
      </c>
      <c r="C252" s="59">
        <v>3.7639973652018446E-2</v>
      </c>
    </row>
    <row r="253" spans="1:3" ht="15" thickBot="1" x14ac:dyDescent="0.4">
      <c r="A253" s="82" t="s">
        <v>276</v>
      </c>
      <c r="B253" s="55">
        <v>3000</v>
      </c>
      <c r="C253" s="59">
        <v>2.8229980239013831E-2</v>
      </c>
    </row>
    <row r="254" spans="1:3" ht="15" thickBot="1" x14ac:dyDescent="0.4">
      <c r="A254" s="82" t="s">
        <v>278</v>
      </c>
      <c r="B254" s="55">
        <v>6000</v>
      </c>
      <c r="C254" s="59">
        <v>5.6459960478027663E-2</v>
      </c>
    </row>
    <row r="255" spans="1:3" ht="15" thickBot="1" x14ac:dyDescent="0.4">
      <c r="A255" s="53" t="s">
        <v>64</v>
      </c>
      <c r="B255" s="55">
        <v>5000</v>
      </c>
      <c r="C255" s="59">
        <v>4.7049967065023054E-2</v>
      </c>
    </row>
    <row r="256" spans="1:3" ht="15" thickBot="1" x14ac:dyDescent="0.4">
      <c r="A256" s="81" t="s">
        <v>14</v>
      </c>
      <c r="B256" s="55">
        <v>5000</v>
      </c>
      <c r="C256" s="59">
        <v>4.7049967065023054E-2</v>
      </c>
    </row>
    <row r="257" spans="1:3" ht="15" thickBot="1" x14ac:dyDescent="0.4">
      <c r="A257" s="82" t="s">
        <v>279</v>
      </c>
      <c r="B257" s="55">
        <v>2000</v>
      </c>
      <c r="C257" s="59">
        <v>1.8819986826009223E-2</v>
      </c>
    </row>
    <row r="258" spans="1:3" ht="15" thickBot="1" x14ac:dyDescent="0.4">
      <c r="A258" s="82" t="s">
        <v>276</v>
      </c>
      <c r="B258" s="55">
        <v>3000</v>
      </c>
      <c r="C258" s="59">
        <v>2.8229980239013831E-2</v>
      </c>
    </row>
    <row r="259" spans="1:3" ht="15" thickBot="1" x14ac:dyDescent="0.4">
      <c r="A259" s="53" t="s">
        <v>49</v>
      </c>
      <c r="B259" s="55">
        <v>1900</v>
      </c>
      <c r="C259" s="59">
        <v>1.7878987484708762E-2</v>
      </c>
    </row>
    <row r="260" spans="1:3" ht="15" thickBot="1" x14ac:dyDescent="0.4">
      <c r="A260" s="81" t="s">
        <v>14</v>
      </c>
      <c r="B260" s="55">
        <v>1900</v>
      </c>
      <c r="C260" s="59">
        <v>1.7878987484708762E-2</v>
      </c>
    </row>
    <row r="261" spans="1:3" ht="15" thickBot="1" x14ac:dyDescent="0.4">
      <c r="A261" s="82" t="s">
        <v>275</v>
      </c>
      <c r="B261" s="55">
        <v>400</v>
      </c>
      <c r="C261" s="59">
        <v>3.7639973652018443E-3</v>
      </c>
    </row>
    <row r="262" spans="1:3" ht="15" thickBot="1" x14ac:dyDescent="0.4">
      <c r="A262" s="82" t="s">
        <v>279</v>
      </c>
      <c r="B262" s="55">
        <v>500</v>
      </c>
      <c r="C262" s="59">
        <v>4.7049967065023058E-3</v>
      </c>
    </row>
    <row r="263" spans="1:3" ht="15" thickBot="1" x14ac:dyDescent="0.4">
      <c r="A263" s="82" t="s">
        <v>276</v>
      </c>
      <c r="B263" s="55">
        <v>500</v>
      </c>
      <c r="C263" s="59">
        <v>4.7049967065023058E-3</v>
      </c>
    </row>
    <row r="264" spans="1:3" ht="15" thickBot="1" x14ac:dyDescent="0.4">
      <c r="A264" s="82" t="s">
        <v>278</v>
      </c>
      <c r="B264" s="55">
        <v>500</v>
      </c>
      <c r="C264" s="59">
        <v>4.7049967065023058E-3</v>
      </c>
    </row>
    <row r="265" spans="1:3" ht="15" thickBot="1" x14ac:dyDescent="0.4">
      <c r="A265" s="53" t="s">
        <v>215</v>
      </c>
      <c r="B265" s="55">
        <v>1500</v>
      </c>
      <c r="C265" s="59">
        <v>1.4114990119506916E-2</v>
      </c>
    </row>
    <row r="266" spans="1:3" ht="15" thickBot="1" x14ac:dyDescent="0.4">
      <c r="A266" s="81" t="s">
        <v>14</v>
      </c>
      <c r="B266" s="55">
        <v>1500</v>
      </c>
      <c r="C266" s="59">
        <v>1.4114990119506916E-2</v>
      </c>
    </row>
    <row r="267" spans="1:3" ht="15" thickBot="1" x14ac:dyDescent="0.4">
      <c r="A267" s="82" t="s">
        <v>275</v>
      </c>
      <c r="B267" s="55">
        <v>500</v>
      </c>
      <c r="C267" s="59">
        <v>4.7049967065023058E-3</v>
      </c>
    </row>
    <row r="268" spans="1:3" ht="15" thickBot="1" x14ac:dyDescent="0.4">
      <c r="A268" s="82" t="s">
        <v>279</v>
      </c>
      <c r="B268" s="55">
        <v>500</v>
      </c>
      <c r="C268" s="59">
        <v>4.7049967065023058E-3</v>
      </c>
    </row>
    <row r="269" spans="1:3" ht="15" thickBot="1" x14ac:dyDescent="0.4">
      <c r="A269" s="82" t="s">
        <v>278</v>
      </c>
      <c r="B269" s="55">
        <v>500</v>
      </c>
      <c r="C269" s="59">
        <v>4.7049967065023058E-3</v>
      </c>
    </row>
    <row r="270" spans="1:3" ht="15" thickBot="1" x14ac:dyDescent="0.4">
      <c r="A270" s="53" t="s">
        <v>71</v>
      </c>
      <c r="B270" s="55">
        <v>600</v>
      </c>
      <c r="C270" s="59">
        <v>5.6459960478027664E-3</v>
      </c>
    </row>
    <row r="271" spans="1:3" ht="15" thickBot="1" x14ac:dyDescent="0.4">
      <c r="A271" s="81" t="s">
        <v>14</v>
      </c>
      <c r="B271" s="55">
        <v>600</v>
      </c>
      <c r="C271" s="59">
        <v>5.6459960478027664E-3</v>
      </c>
    </row>
    <row r="272" spans="1:3" ht="15" thickBot="1" x14ac:dyDescent="0.4">
      <c r="A272" s="82" t="s">
        <v>275</v>
      </c>
      <c r="B272" s="55">
        <v>300</v>
      </c>
      <c r="C272" s="59">
        <v>2.8229980239013832E-3</v>
      </c>
    </row>
    <row r="273" spans="1:3" ht="15" thickBot="1" x14ac:dyDescent="0.4">
      <c r="A273" s="82" t="s">
        <v>278</v>
      </c>
      <c r="B273" s="55">
        <v>300</v>
      </c>
      <c r="C273" s="59">
        <v>2.8229980239013832E-3</v>
      </c>
    </row>
    <row r="274" spans="1:3" ht="15" thickBot="1" x14ac:dyDescent="0.4">
      <c r="A274" s="53" t="s">
        <v>48</v>
      </c>
      <c r="B274" s="55">
        <v>500</v>
      </c>
      <c r="C274" s="59">
        <v>4.7049967065023058E-3</v>
      </c>
    </row>
    <row r="275" spans="1:3" ht="15" thickBot="1" x14ac:dyDescent="0.4">
      <c r="A275" s="81" t="s">
        <v>14</v>
      </c>
      <c r="B275" s="55">
        <v>500</v>
      </c>
      <c r="C275" s="59">
        <v>4.7049967065023058E-3</v>
      </c>
    </row>
    <row r="276" spans="1:3" ht="15" thickBot="1" x14ac:dyDescent="0.4">
      <c r="A276" s="82" t="s">
        <v>275</v>
      </c>
      <c r="B276" s="55">
        <v>500</v>
      </c>
      <c r="C276" s="59">
        <v>4.7049967065023058E-3</v>
      </c>
    </row>
    <row r="277" spans="1:3" ht="15" thickBot="1" x14ac:dyDescent="0.4">
      <c r="A277" s="53" t="s">
        <v>57</v>
      </c>
      <c r="B277" s="55">
        <v>50</v>
      </c>
      <c r="C277" s="59">
        <v>4.7049967065023054E-4</v>
      </c>
    </row>
    <row r="278" spans="1:3" ht="15" thickBot="1" x14ac:dyDescent="0.4">
      <c r="A278" s="81" t="s">
        <v>14</v>
      </c>
      <c r="B278" s="55">
        <v>50</v>
      </c>
      <c r="C278" s="59">
        <v>4.7049967065023054E-4</v>
      </c>
    </row>
    <row r="279" spans="1:3" ht="15" thickBot="1" x14ac:dyDescent="0.4">
      <c r="A279" s="82" t="s">
        <v>277</v>
      </c>
      <c r="B279" s="55">
        <v>50</v>
      </c>
      <c r="C279" s="59">
        <v>4.7049967065023054E-4</v>
      </c>
    </row>
    <row r="280" spans="1:3" ht="15" thickBot="1" x14ac:dyDescent="0.4">
      <c r="A280" s="53" t="s">
        <v>58</v>
      </c>
      <c r="B280" s="55">
        <v>20</v>
      </c>
      <c r="C280" s="59">
        <v>1.8819986826009222E-4</v>
      </c>
    </row>
    <row r="281" spans="1:3" ht="15" thickBot="1" x14ac:dyDescent="0.4">
      <c r="A281" s="81" t="s">
        <v>14</v>
      </c>
      <c r="B281" s="55">
        <v>20</v>
      </c>
      <c r="C281" s="59">
        <v>1.8819986826009222E-4</v>
      </c>
    </row>
    <row r="282" spans="1:3" ht="15" thickBot="1" x14ac:dyDescent="0.4">
      <c r="A282" s="82" t="s">
        <v>278</v>
      </c>
      <c r="B282" s="55">
        <v>20</v>
      </c>
      <c r="C282" s="59">
        <v>1.8819986826009222E-4</v>
      </c>
    </row>
    <row r="283" spans="1:3" ht="15" thickBot="1" x14ac:dyDescent="0.4">
      <c r="A283" s="64">
        <v>45861</v>
      </c>
      <c r="B283" s="55">
        <v>3400</v>
      </c>
      <c r="C283" s="59">
        <v>3.1993977604215677E-2</v>
      </c>
    </row>
    <row r="284" spans="1:3" ht="15" thickBot="1" x14ac:dyDescent="0.4">
      <c r="A284" s="80" t="s">
        <v>19</v>
      </c>
      <c r="B284" s="55">
        <v>3400</v>
      </c>
      <c r="C284" s="59">
        <v>3.1993977604215677E-2</v>
      </c>
    </row>
    <row r="285" spans="1:3" ht="15" thickBot="1" x14ac:dyDescent="0.4">
      <c r="A285" s="53" t="s">
        <v>64</v>
      </c>
      <c r="B285" s="55">
        <v>2000</v>
      </c>
      <c r="C285" s="59">
        <v>1.8819986826009223E-2</v>
      </c>
    </row>
    <row r="286" spans="1:3" ht="15" thickBot="1" x14ac:dyDescent="0.4">
      <c r="A286" s="81" t="s">
        <v>14</v>
      </c>
      <c r="B286" s="55">
        <v>2000</v>
      </c>
      <c r="C286" s="59">
        <v>1.8819986826009223E-2</v>
      </c>
    </row>
    <row r="287" spans="1:3" ht="15" thickBot="1" x14ac:dyDescent="0.4">
      <c r="A287" s="82" t="s">
        <v>278</v>
      </c>
      <c r="B287" s="55">
        <v>2000</v>
      </c>
      <c r="C287" s="59">
        <v>1.8819986826009223E-2</v>
      </c>
    </row>
    <row r="288" spans="1:3" ht="15" thickBot="1" x14ac:dyDescent="0.4">
      <c r="A288" s="53" t="s">
        <v>65</v>
      </c>
      <c r="B288" s="55">
        <v>1000</v>
      </c>
      <c r="C288" s="59">
        <v>9.4099934130046116E-3</v>
      </c>
    </row>
    <row r="289" spans="1:3" ht="15" thickBot="1" x14ac:dyDescent="0.4">
      <c r="A289" s="81" t="s">
        <v>14</v>
      </c>
      <c r="B289" s="55">
        <v>1000</v>
      </c>
      <c r="C289" s="59">
        <v>9.4099934130046116E-3</v>
      </c>
    </row>
    <row r="290" spans="1:3" ht="15" thickBot="1" x14ac:dyDescent="0.4">
      <c r="A290" s="82" t="s">
        <v>280</v>
      </c>
      <c r="B290" s="55">
        <v>1000</v>
      </c>
      <c r="C290" s="59">
        <v>9.4099934130046116E-3</v>
      </c>
    </row>
    <row r="291" spans="1:3" ht="15" thickBot="1" x14ac:dyDescent="0.4">
      <c r="A291" s="53" t="s">
        <v>54</v>
      </c>
      <c r="B291" s="55">
        <v>300</v>
      </c>
      <c r="C291" s="59">
        <v>2.8229980239013832E-3</v>
      </c>
    </row>
    <row r="292" spans="1:3" ht="15" thickBot="1" x14ac:dyDescent="0.4">
      <c r="A292" s="81" t="s">
        <v>14</v>
      </c>
      <c r="B292" s="55">
        <v>300</v>
      </c>
      <c r="C292" s="59">
        <v>2.8229980239013832E-3</v>
      </c>
    </row>
    <row r="293" spans="1:3" ht="15" thickBot="1" x14ac:dyDescent="0.4">
      <c r="A293" s="82" t="s">
        <v>281</v>
      </c>
      <c r="B293" s="55">
        <v>100</v>
      </c>
      <c r="C293" s="59">
        <v>9.4099934130046107E-4</v>
      </c>
    </row>
    <row r="294" spans="1:3" ht="15" thickBot="1" x14ac:dyDescent="0.4">
      <c r="A294" s="82" t="s">
        <v>282</v>
      </c>
      <c r="B294" s="55">
        <v>200</v>
      </c>
      <c r="C294" s="59">
        <v>1.8819986826009221E-3</v>
      </c>
    </row>
    <row r="295" spans="1:3" ht="15" thickBot="1" x14ac:dyDescent="0.4">
      <c r="A295" s="53" t="s">
        <v>57</v>
      </c>
      <c r="B295" s="55">
        <v>100</v>
      </c>
      <c r="C295" s="59">
        <v>9.4099934130046107E-4</v>
      </c>
    </row>
    <row r="296" spans="1:3" ht="15" thickBot="1" x14ac:dyDescent="0.4">
      <c r="A296" s="81" t="s">
        <v>14</v>
      </c>
      <c r="B296" s="55">
        <v>100</v>
      </c>
      <c r="C296" s="59">
        <v>9.4099934130046107E-4</v>
      </c>
    </row>
    <row r="297" spans="1:3" ht="15" thickBot="1" x14ac:dyDescent="0.4">
      <c r="A297" s="82" t="s">
        <v>281</v>
      </c>
      <c r="B297" s="55">
        <v>100</v>
      </c>
      <c r="C297" s="59">
        <v>9.4099934130046107E-4</v>
      </c>
    </row>
    <row r="298" spans="1:3" ht="15" thickBot="1" x14ac:dyDescent="0.4">
      <c r="A298" s="64">
        <v>45862</v>
      </c>
      <c r="B298" s="55">
        <v>3500</v>
      </c>
      <c r="C298" s="59">
        <v>3.2934976945516135E-2</v>
      </c>
    </row>
    <row r="299" spans="1:3" ht="15" thickBot="1" x14ac:dyDescent="0.4">
      <c r="A299" s="80" t="s">
        <v>20</v>
      </c>
      <c r="B299" s="55">
        <v>3500</v>
      </c>
      <c r="C299" s="59">
        <v>3.2934976945516135E-2</v>
      </c>
    </row>
    <row r="300" spans="1:3" ht="15" thickBot="1" x14ac:dyDescent="0.4">
      <c r="A300" s="53" t="s">
        <v>64</v>
      </c>
      <c r="B300" s="55">
        <v>2000</v>
      </c>
      <c r="C300" s="59">
        <v>1.8819986826009223E-2</v>
      </c>
    </row>
    <row r="301" spans="1:3" ht="15" thickBot="1" x14ac:dyDescent="0.4">
      <c r="A301" s="81" t="s">
        <v>14</v>
      </c>
      <c r="B301" s="55">
        <v>2000</v>
      </c>
      <c r="C301" s="59">
        <v>1.8819986826009223E-2</v>
      </c>
    </row>
    <row r="302" spans="1:3" ht="15" thickBot="1" x14ac:dyDescent="0.4">
      <c r="A302" s="82" t="s">
        <v>273</v>
      </c>
      <c r="B302" s="55">
        <v>2000</v>
      </c>
      <c r="C302" s="59">
        <v>1.8819986826009223E-2</v>
      </c>
    </row>
    <row r="303" spans="1:3" ht="15" thickBot="1" x14ac:dyDescent="0.4">
      <c r="A303" s="53" t="s">
        <v>65</v>
      </c>
      <c r="B303" s="55">
        <v>1000</v>
      </c>
      <c r="C303" s="59">
        <v>9.4099934130046116E-3</v>
      </c>
    </row>
    <row r="304" spans="1:3" ht="15" thickBot="1" x14ac:dyDescent="0.4">
      <c r="A304" s="81" t="s">
        <v>14</v>
      </c>
      <c r="B304" s="55">
        <v>1000</v>
      </c>
      <c r="C304" s="59">
        <v>9.4099934130046116E-3</v>
      </c>
    </row>
    <row r="305" spans="1:3" ht="15" thickBot="1" x14ac:dyDescent="0.4">
      <c r="A305" s="82" t="s">
        <v>273</v>
      </c>
      <c r="B305" s="55">
        <v>1000</v>
      </c>
      <c r="C305" s="59">
        <v>9.4099934130046116E-3</v>
      </c>
    </row>
    <row r="306" spans="1:3" ht="15" thickBot="1" x14ac:dyDescent="0.4">
      <c r="A306" s="53" t="s">
        <v>215</v>
      </c>
      <c r="B306" s="55">
        <v>500</v>
      </c>
      <c r="C306" s="59">
        <v>4.7049967065023058E-3</v>
      </c>
    </row>
    <row r="307" spans="1:3" ht="15" thickBot="1" x14ac:dyDescent="0.4">
      <c r="A307" s="81" t="s">
        <v>14</v>
      </c>
      <c r="B307" s="55">
        <v>500</v>
      </c>
      <c r="C307" s="59">
        <v>4.7049967065023058E-3</v>
      </c>
    </row>
    <row r="308" spans="1:3" ht="15" thickBot="1" x14ac:dyDescent="0.4">
      <c r="A308" s="82" t="s">
        <v>273</v>
      </c>
      <c r="B308" s="55">
        <v>500</v>
      </c>
      <c r="C308" s="59">
        <v>4.7049967065023058E-3</v>
      </c>
    </row>
    <row r="309" spans="1:3" ht="15" thickBot="1" x14ac:dyDescent="0.4">
      <c r="A309" s="57" t="s">
        <v>178</v>
      </c>
      <c r="B309" s="55">
        <v>106270</v>
      </c>
      <c r="C309" s="59">
        <v>1</v>
      </c>
    </row>
    <row r="310" spans="1:3" x14ac:dyDescent="0.35">
      <c r="A310"/>
    </row>
    <row r="311" spans="1:3" x14ac:dyDescent="0.35">
      <c r="A311"/>
    </row>
    <row r="312" spans="1:3" ht="15" thickBot="1" x14ac:dyDescent="0.4">
      <c r="A312"/>
    </row>
    <row r="313" spans="1:3" ht="15" thickBot="1" x14ac:dyDescent="0.4">
      <c r="A313"/>
    </row>
    <row r="314" spans="1:3" ht="15" thickBot="1" x14ac:dyDescent="0.4">
      <c r="A314"/>
    </row>
    <row r="315" spans="1:3" ht="15" thickBot="1" x14ac:dyDescent="0.4">
      <c r="A315"/>
    </row>
    <row r="316" spans="1:3" ht="15" thickBot="1" x14ac:dyDescent="0.4">
      <c r="A316"/>
    </row>
    <row r="317" spans="1:3" ht="15" thickBot="1" x14ac:dyDescent="0.4">
      <c r="A317"/>
    </row>
    <row r="318" spans="1:3" ht="15" thickBot="1" x14ac:dyDescent="0.4">
      <c r="A318"/>
    </row>
    <row r="319" spans="1:3" ht="15" thickBot="1" x14ac:dyDescent="0.4">
      <c r="A319"/>
    </row>
    <row r="320" spans="1:3" ht="15" thickBot="1" x14ac:dyDescent="0.4">
      <c r="A320"/>
    </row>
    <row r="321" spans="1:1" ht="15" thickBot="1" x14ac:dyDescent="0.4">
      <c r="A321"/>
    </row>
    <row r="322" spans="1:1" ht="15" thickBot="1" x14ac:dyDescent="0.4">
      <c r="A322"/>
    </row>
    <row r="323" spans="1:1" ht="15" thickBot="1" x14ac:dyDescent="0.4">
      <c r="A323"/>
    </row>
    <row r="324" spans="1:1" ht="15" thickBot="1" x14ac:dyDescent="0.4">
      <c r="A324"/>
    </row>
    <row r="325" spans="1:1" ht="15" thickBot="1" x14ac:dyDescent="0.4">
      <c r="A325"/>
    </row>
    <row r="326" spans="1:1" ht="15" thickBot="1" x14ac:dyDescent="0.4">
      <c r="A326"/>
    </row>
    <row r="327" spans="1:1" ht="15" thickBot="1" x14ac:dyDescent="0.4">
      <c r="A327"/>
    </row>
    <row r="328" spans="1:1" ht="15" thickBot="1" x14ac:dyDescent="0.4">
      <c r="A328"/>
    </row>
    <row r="329" spans="1:1" ht="15" thickBot="1" x14ac:dyDescent="0.4">
      <c r="A329"/>
    </row>
    <row r="330" spans="1:1" ht="15" thickBot="1" x14ac:dyDescent="0.4">
      <c r="A330"/>
    </row>
    <row r="331" spans="1:1" ht="15" thickBot="1" x14ac:dyDescent="0.4">
      <c r="A331"/>
    </row>
    <row r="332" spans="1:1" ht="15" thickBot="1" x14ac:dyDescent="0.4">
      <c r="A332"/>
    </row>
    <row r="333" spans="1:1" ht="15" thickBot="1" x14ac:dyDescent="0.4">
      <c r="A333"/>
    </row>
    <row r="334" spans="1:1" ht="15" thickBot="1" x14ac:dyDescent="0.4">
      <c r="A334"/>
    </row>
    <row r="335" spans="1:1" ht="15" thickBot="1" x14ac:dyDescent="0.4">
      <c r="A335"/>
    </row>
    <row r="336" spans="1:1" ht="15" thickBot="1" x14ac:dyDescent="0.4">
      <c r="A336"/>
    </row>
    <row r="337" spans="1:1" ht="15" thickBot="1" x14ac:dyDescent="0.4">
      <c r="A337"/>
    </row>
    <row r="338" spans="1:1" ht="15" thickBot="1" x14ac:dyDescent="0.4">
      <c r="A338"/>
    </row>
    <row r="339" spans="1:1" ht="15" thickBot="1" x14ac:dyDescent="0.4">
      <c r="A339"/>
    </row>
    <row r="340" spans="1:1" ht="15" thickBot="1" x14ac:dyDescent="0.4">
      <c r="A340"/>
    </row>
    <row r="341" spans="1:1" ht="15" thickBot="1" x14ac:dyDescent="0.4">
      <c r="A341"/>
    </row>
    <row r="342" spans="1:1" ht="15" thickBot="1" x14ac:dyDescent="0.4">
      <c r="A342"/>
    </row>
    <row r="343" spans="1:1" ht="15" thickBot="1" x14ac:dyDescent="0.4">
      <c r="A343"/>
    </row>
    <row r="344" spans="1:1" ht="15" thickBot="1" x14ac:dyDescent="0.4">
      <c r="A344"/>
    </row>
    <row r="345" spans="1:1" ht="15" thickBot="1" x14ac:dyDescent="0.4">
      <c r="A345"/>
    </row>
    <row r="346" spans="1:1" ht="15" thickBot="1" x14ac:dyDescent="0.4">
      <c r="A346"/>
    </row>
    <row r="347" spans="1:1" ht="15" thickBot="1" x14ac:dyDescent="0.4">
      <c r="A347"/>
    </row>
    <row r="348" spans="1:1" ht="15" thickBot="1" x14ac:dyDescent="0.4">
      <c r="A348"/>
    </row>
    <row r="349" spans="1:1" ht="15" thickBot="1" x14ac:dyDescent="0.4">
      <c r="A349"/>
    </row>
    <row r="350" spans="1:1" ht="15" thickBot="1" x14ac:dyDescent="0.4">
      <c r="A350"/>
    </row>
    <row r="351" spans="1:1" ht="15" thickBot="1" x14ac:dyDescent="0.4">
      <c r="A351"/>
    </row>
    <row r="352" spans="1:1" ht="15" thickBot="1" x14ac:dyDescent="0.4">
      <c r="A352"/>
    </row>
    <row r="353" spans="1:1" ht="15" thickBot="1" x14ac:dyDescent="0.4">
      <c r="A353"/>
    </row>
    <row r="354" spans="1:1" ht="15" thickBot="1" x14ac:dyDescent="0.4">
      <c r="A354"/>
    </row>
    <row r="355" spans="1:1" ht="15" thickBot="1" x14ac:dyDescent="0.4">
      <c r="A355"/>
    </row>
    <row r="356" spans="1:1" ht="15" thickBot="1" x14ac:dyDescent="0.4">
      <c r="A356"/>
    </row>
    <row r="357" spans="1:1" ht="15" thickBot="1" x14ac:dyDescent="0.4">
      <c r="A357"/>
    </row>
    <row r="358" spans="1:1" ht="15" thickBot="1" x14ac:dyDescent="0.4">
      <c r="A358"/>
    </row>
    <row r="359" spans="1:1" ht="15" thickBot="1" x14ac:dyDescent="0.4">
      <c r="A359"/>
    </row>
    <row r="360" spans="1:1" ht="15" thickBot="1" x14ac:dyDescent="0.4">
      <c r="A360"/>
    </row>
    <row r="361" spans="1:1" ht="15" thickBot="1" x14ac:dyDescent="0.4">
      <c r="A361"/>
    </row>
    <row r="362" spans="1:1" ht="15" thickBot="1" x14ac:dyDescent="0.4">
      <c r="A362"/>
    </row>
    <row r="363" spans="1:1" ht="15" thickBot="1" x14ac:dyDescent="0.4">
      <c r="A363"/>
    </row>
    <row r="364" spans="1:1" ht="15" thickBot="1" x14ac:dyDescent="0.4">
      <c r="A364"/>
    </row>
    <row r="365" spans="1:1" ht="15" thickBot="1" x14ac:dyDescent="0.4">
      <c r="A365"/>
    </row>
    <row r="366" spans="1:1" ht="15" thickBot="1" x14ac:dyDescent="0.4">
      <c r="A366"/>
    </row>
    <row r="367" spans="1:1" ht="15" thickBot="1" x14ac:dyDescent="0.4">
      <c r="A367"/>
    </row>
    <row r="368" spans="1:1" ht="15" thickBot="1" x14ac:dyDescent="0.4">
      <c r="A368"/>
    </row>
    <row r="369" spans="1:1" ht="15" thickBot="1" x14ac:dyDescent="0.4">
      <c r="A369"/>
    </row>
    <row r="370" spans="1:1" ht="15" thickBot="1" x14ac:dyDescent="0.4">
      <c r="A370"/>
    </row>
    <row r="371" spans="1:1" ht="15" thickBot="1" x14ac:dyDescent="0.4">
      <c r="A371"/>
    </row>
    <row r="372" spans="1:1" ht="15" thickBot="1" x14ac:dyDescent="0.4">
      <c r="A372"/>
    </row>
    <row r="373" spans="1:1" ht="15" thickBot="1" x14ac:dyDescent="0.4">
      <c r="A373"/>
    </row>
    <row r="374" spans="1:1" ht="15" thickBot="1" x14ac:dyDescent="0.4">
      <c r="A374"/>
    </row>
    <row r="375" spans="1:1" ht="15" thickBot="1" x14ac:dyDescent="0.4">
      <c r="A375"/>
    </row>
    <row r="376" spans="1:1" ht="15" thickBot="1" x14ac:dyDescent="0.4">
      <c r="A376"/>
    </row>
    <row r="377" spans="1:1" ht="15" thickBot="1" x14ac:dyDescent="0.4">
      <c r="A377"/>
    </row>
    <row r="378" spans="1:1" ht="15" thickBot="1" x14ac:dyDescent="0.4">
      <c r="A378"/>
    </row>
    <row r="379" spans="1:1" ht="15" thickBot="1" x14ac:dyDescent="0.4">
      <c r="A379"/>
    </row>
    <row r="380" spans="1:1" ht="15" thickBot="1" x14ac:dyDescent="0.4">
      <c r="A380"/>
    </row>
    <row r="381" spans="1:1" ht="15" thickBot="1" x14ac:dyDescent="0.4">
      <c r="A381"/>
    </row>
    <row r="382" spans="1:1" ht="15" thickBot="1" x14ac:dyDescent="0.4">
      <c r="A382"/>
    </row>
    <row r="383" spans="1:1" ht="15" thickBot="1" x14ac:dyDescent="0.4">
      <c r="A383"/>
    </row>
    <row r="384" spans="1:1" ht="15" thickBot="1" x14ac:dyDescent="0.4">
      <c r="A384"/>
    </row>
    <row r="385" spans="1:1" ht="15" thickBot="1" x14ac:dyDescent="0.4">
      <c r="A385"/>
    </row>
    <row r="386" spans="1:1" ht="15" thickBot="1" x14ac:dyDescent="0.4">
      <c r="A386"/>
    </row>
    <row r="387" spans="1:1" ht="15" thickBot="1" x14ac:dyDescent="0.4">
      <c r="A387"/>
    </row>
    <row r="388" spans="1:1" ht="15" thickBot="1" x14ac:dyDescent="0.4">
      <c r="A388"/>
    </row>
    <row r="389" spans="1:1" ht="15" thickBot="1" x14ac:dyDescent="0.4">
      <c r="A389"/>
    </row>
    <row r="390" spans="1:1" ht="15" thickBot="1" x14ac:dyDescent="0.4">
      <c r="A390"/>
    </row>
    <row r="391" spans="1:1" ht="15" thickBot="1" x14ac:dyDescent="0.4">
      <c r="A391"/>
    </row>
    <row r="392" spans="1:1" ht="15" thickBot="1" x14ac:dyDescent="0.4">
      <c r="A392"/>
    </row>
    <row r="393" spans="1:1" ht="15" thickBot="1" x14ac:dyDescent="0.4">
      <c r="A393"/>
    </row>
    <row r="394" spans="1:1" ht="15" thickBot="1" x14ac:dyDescent="0.4">
      <c r="A394"/>
    </row>
    <row r="395" spans="1:1" ht="15" thickBot="1" x14ac:dyDescent="0.4">
      <c r="A395"/>
    </row>
    <row r="396" spans="1:1" ht="15" thickBot="1" x14ac:dyDescent="0.4">
      <c r="A396"/>
    </row>
    <row r="397" spans="1:1" ht="15" thickBot="1" x14ac:dyDescent="0.4">
      <c r="A397"/>
    </row>
    <row r="398" spans="1:1" ht="15" thickBot="1" x14ac:dyDescent="0.4">
      <c r="A398"/>
    </row>
    <row r="399" spans="1:1" ht="15" thickBot="1" x14ac:dyDescent="0.4">
      <c r="A399"/>
    </row>
    <row r="400" spans="1:1" ht="15" thickBot="1" x14ac:dyDescent="0.4">
      <c r="A400"/>
    </row>
    <row r="401" spans="1:1" ht="15" thickBot="1" x14ac:dyDescent="0.4">
      <c r="A401"/>
    </row>
    <row r="402" spans="1:1" ht="15" thickBot="1" x14ac:dyDescent="0.4">
      <c r="A402"/>
    </row>
    <row r="403" spans="1:1" ht="15" thickBot="1" x14ac:dyDescent="0.4">
      <c r="A403"/>
    </row>
    <row r="404" spans="1:1" ht="15" thickBot="1" x14ac:dyDescent="0.4">
      <c r="A404"/>
    </row>
    <row r="405" spans="1:1" ht="15" thickBot="1" x14ac:dyDescent="0.4">
      <c r="A405"/>
    </row>
    <row r="406" spans="1:1" ht="15" thickBot="1" x14ac:dyDescent="0.4">
      <c r="A406"/>
    </row>
    <row r="407" spans="1:1" ht="15" thickBot="1" x14ac:dyDescent="0.4">
      <c r="A407"/>
    </row>
    <row r="408" spans="1:1" ht="15" thickBot="1" x14ac:dyDescent="0.4">
      <c r="A408"/>
    </row>
    <row r="409" spans="1:1" ht="15" thickBot="1" x14ac:dyDescent="0.4">
      <c r="A409"/>
    </row>
    <row r="410" spans="1:1" ht="15" thickBot="1" x14ac:dyDescent="0.4">
      <c r="A410"/>
    </row>
    <row r="411" spans="1:1" ht="15" thickBot="1" x14ac:dyDescent="0.4">
      <c r="A411"/>
    </row>
    <row r="412" spans="1:1" ht="15" thickBot="1" x14ac:dyDescent="0.4">
      <c r="A412"/>
    </row>
    <row r="413" spans="1:1" ht="15" thickBot="1" x14ac:dyDescent="0.4">
      <c r="A413"/>
    </row>
    <row r="414" spans="1:1" ht="15" thickBot="1" x14ac:dyDescent="0.4">
      <c r="A414"/>
    </row>
    <row r="415" spans="1:1" ht="15" thickBot="1" x14ac:dyDescent="0.4">
      <c r="A415"/>
    </row>
    <row r="416" spans="1:1" ht="15" thickBot="1" x14ac:dyDescent="0.4">
      <c r="A416"/>
    </row>
    <row r="417" spans="1:1" ht="15" thickBot="1" x14ac:dyDescent="0.4">
      <c r="A417"/>
    </row>
    <row r="418" spans="1:1" ht="15" thickBot="1" x14ac:dyDescent="0.4">
      <c r="A418"/>
    </row>
    <row r="419" spans="1:1" ht="15" thickBot="1" x14ac:dyDescent="0.4">
      <c r="A419"/>
    </row>
    <row r="420" spans="1:1" ht="15" thickBot="1" x14ac:dyDescent="0.4">
      <c r="A420"/>
    </row>
    <row r="421" spans="1:1" ht="15" thickBot="1" x14ac:dyDescent="0.4">
      <c r="A421"/>
    </row>
    <row r="422" spans="1:1" ht="15" thickBot="1" x14ac:dyDescent="0.4">
      <c r="A422"/>
    </row>
    <row r="423" spans="1:1" ht="15" thickBot="1" x14ac:dyDescent="0.4">
      <c r="A423"/>
    </row>
    <row r="424" spans="1:1" ht="15" thickBot="1" x14ac:dyDescent="0.4">
      <c r="A424"/>
    </row>
    <row r="425" spans="1:1" ht="15" thickBot="1" x14ac:dyDescent="0.4">
      <c r="A425"/>
    </row>
    <row r="426" spans="1:1" ht="15" thickBot="1" x14ac:dyDescent="0.4">
      <c r="A426"/>
    </row>
    <row r="427" spans="1:1" ht="15" thickBot="1" x14ac:dyDescent="0.4">
      <c r="A427"/>
    </row>
    <row r="428" spans="1:1" ht="15" thickBot="1" x14ac:dyDescent="0.4">
      <c r="A428"/>
    </row>
    <row r="429" spans="1:1" ht="15" thickBot="1" x14ac:dyDescent="0.4">
      <c r="A429"/>
    </row>
    <row r="430" spans="1:1" ht="15" thickBot="1" x14ac:dyDescent="0.4">
      <c r="A430"/>
    </row>
    <row r="431" spans="1:1" ht="15" thickBot="1" x14ac:dyDescent="0.4">
      <c r="A431"/>
    </row>
    <row r="432" spans="1:1" ht="15" thickBot="1" x14ac:dyDescent="0.4">
      <c r="A432"/>
    </row>
    <row r="433" spans="1:1" ht="15" thickBot="1" x14ac:dyDescent="0.4">
      <c r="A433"/>
    </row>
    <row r="434" spans="1:1" ht="15" thickBot="1" x14ac:dyDescent="0.4">
      <c r="A434"/>
    </row>
    <row r="435" spans="1:1" ht="15" thickBot="1" x14ac:dyDescent="0.4">
      <c r="A435"/>
    </row>
    <row r="436" spans="1:1" ht="15" thickBot="1" x14ac:dyDescent="0.4">
      <c r="A436"/>
    </row>
    <row r="437" spans="1:1" ht="15" thickBot="1" x14ac:dyDescent="0.4">
      <c r="A437"/>
    </row>
    <row r="438" spans="1:1" ht="15" thickBot="1" x14ac:dyDescent="0.4">
      <c r="A438"/>
    </row>
    <row r="439" spans="1:1" ht="15" thickBot="1" x14ac:dyDescent="0.4">
      <c r="A439"/>
    </row>
    <row r="440" spans="1:1" ht="15" thickBot="1" x14ac:dyDescent="0.4">
      <c r="A440"/>
    </row>
    <row r="441" spans="1:1" ht="15" thickBot="1" x14ac:dyDescent="0.4">
      <c r="A441"/>
    </row>
    <row r="442" spans="1:1" ht="15" thickBot="1" x14ac:dyDescent="0.4">
      <c r="A442"/>
    </row>
    <row r="443" spans="1:1" ht="15" thickBot="1" x14ac:dyDescent="0.4">
      <c r="A443"/>
    </row>
    <row r="444" spans="1:1" ht="15" thickBot="1" x14ac:dyDescent="0.4">
      <c r="A444"/>
    </row>
    <row r="445" spans="1:1" ht="15" thickBot="1" x14ac:dyDescent="0.4">
      <c r="A445"/>
    </row>
    <row r="446" spans="1:1" ht="15" thickBot="1" x14ac:dyDescent="0.4">
      <c r="A446"/>
    </row>
    <row r="447" spans="1:1" ht="15" thickBot="1" x14ac:dyDescent="0.4">
      <c r="A447"/>
    </row>
    <row r="448" spans="1:1" ht="15" thickBot="1" x14ac:dyDescent="0.4">
      <c r="A448"/>
    </row>
    <row r="449" spans="1:1" ht="15" thickBot="1" x14ac:dyDescent="0.4">
      <c r="A449"/>
    </row>
    <row r="450" spans="1:1" ht="15" thickBot="1" x14ac:dyDescent="0.4">
      <c r="A450"/>
    </row>
    <row r="451" spans="1:1" ht="15" thickBot="1" x14ac:dyDescent="0.4">
      <c r="A451"/>
    </row>
    <row r="452" spans="1:1" ht="15" thickBot="1" x14ac:dyDescent="0.4">
      <c r="A452"/>
    </row>
    <row r="453" spans="1:1" ht="15" thickBot="1" x14ac:dyDescent="0.4">
      <c r="A453"/>
    </row>
    <row r="454" spans="1:1" ht="15" thickBot="1" x14ac:dyDescent="0.4">
      <c r="A454"/>
    </row>
    <row r="455" spans="1:1" ht="15" thickBot="1" x14ac:dyDescent="0.4">
      <c r="A455"/>
    </row>
    <row r="456" spans="1:1" ht="15" thickBot="1" x14ac:dyDescent="0.4">
      <c r="A456"/>
    </row>
    <row r="457" spans="1:1" ht="15" thickBot="1" x14ac:dyDescent="0.4">
      <c r="A457"/>
    </row>
    <row r="458" spans="1:1" ht="15" thickBot="1" x14ac:dyDescent="0.4">
      <c r="A458"/>
    </row>
    <row r="459" spans="1:1" ht="15" thickBot="1" x14ac:dyDescent="0.4">
      <c r="A459"/>
    </row>
    <row r="460" spans="1:1" ht="15" thickBot="1" x14ac:dyDescent="0.4">
      <c r="A460"/>
    </row>
    <row r="461" spans="1:1" ht="15" thickBot="1" x14ac:dyDescent="0.4">
      <c r="A461"/>
    </row>
    <row r="462" spans="1:1" ht="15" thickBot="1" x14ac:dyDescent="0.4">
      <c r="A462"/>
    </row>
    <row r="463" spans="1:1" ht="15" thickBot="1" x14ac:dyDescent="0.4">
      <c r="A463"/>
    </row>
    <row r="464" spans="1:1" ht="15" thickBot="1" x14ac:dyDescent="0.4">
      <c r="A464"/>
    </row>
    <row r="465" spans="1:1" ht="15" thickBot="1" x14ac:dyDescent="0.4">
      <c r="A465"/>
    </row>
    <row r="466" spans="1:1" ht="15" thickBot="1" x14ac:dyDescent="0.4">
      <c r="A466"/>
    </row>
    <row r="467" spans="1:1" ht="15" thickBot="1" x14ac:dyDescent="0.4">
      <c r="A467"/>
    </row>
    <row r="468" spans="1:1" ht="15" thickBot="1" x14ac:dyDescent="0.4">
      <c r="A468"/>
    </row>
    <row r="469" spans="1:1" ht="15" thickBot="1" x14ac:dyDescent="0.4">
      <c r="A469"/>
    </row>
    <row r="470" spans="1:1" ht="15" thickBot="1" x14ac:dyDescent="0.4">
      <c r="A470"/>
    </row>
    <row r="471" spans="1:1" ht="15" thickBot="1" x14ac:dyDescent="0.4">
      <c r="A471"/>
    </row>
    <row r="472" spans="1:1" ht="15" thickBot="1" x14ac:dyDescent="0.4">
      <c r="A472"/>
    </row>
    <row r="473" spans="1:1" ht="15" thickBot="1" x14ac:dyDescent="0.4">
      <c r="A473"/>
    </row>
    <row r="474" spans="1:1" ht="15" thickBot="1" x14ac:dyDescent="0.4">
      <c r="A474"/>
    </row>
    <row r="475" spans="1:1" ht="15" thickBot="1" x14ac:dyDescent="0.4">
      <c r="A475"/>
    </row>
    <row r="476" spans="1:1" ht="15" thickBot="1" x14ac:dyDescent="0.4">
      <c r="A476"/>
    </row>
    <row r="477" spans="1:1" ht="15" thickBot="1" x14ac:dyDescent="0.4">
      <c r="A477"/>
    </row>
    <row r="478" spans="1:1" ht="15" thickBot="1" x14ac:dyDescent="0.4">
      <c r="A478"/>
    </row>
    <row r="479" spans="1:1" ht="15" thickBot="1" x14ac:dyDescent="0.4">
      <c r="A479"/>
    </row>
    <row r="480" spans="1:1" ht="15" thickBot="1" x14ac:dyDescent="0.4">
      <c r="A480"/>
    </row>
    <row r="481" spans="1:1" ht="15" thickBot="1" x14ac:dyDescent="0.4">
      <c r="A481"/>
    </row>
    <row r="482" spans="1:1" ht="15" thickBot="1" x14ac:dyDescent="0.4">
      <c r="A482"/>
    </row>
    <row r="483" spans="1:1" ht="15" thickBot="1" x14ac:dyDescent="0.4">
      <c r="A483"/>
    </row>
    <row r="484" spans="1:1" ht="15" thickBot="1" x14ac:dyDescent="0.4">
      <c r="A484"/>
    </row>
    <row r="485" spans="1:1" ht="15" thickBot="1" x14ac:dyDescent="0.4">
      <c r="A485"/>
    </row>
    <row r="486" spans="1:1" ht="15" thickBot="1" x14ac:dyDescent="0.4">
      <c r="A486"/>
    </row>
    <row r="487" spans="1:1" ht="15" thickBot="1" x14ac:dyDescent="0.4">
      <c r="A487"/>
    </row>
    <row r="488" spans="1:1" ht="15" thickBot="1" x14ac:dyDescent="0.4">
      <c r="A488"/>
    </row>
    <row r="489" spans="1:1" ht="15" thickBot="1" x14ac:dyDescent="0.4">
      <c r="A489"/>
    </row>
    <row r="490" spans="1:1" ht="15" thickBot="1" x14ac:dyDescent="0.4">
      <c r="A490"/>
    </row>
    <row r="491" spans="1:1" ht="15" thickBot="1" x14ac:dyDescent="0.4">
      <c r="A491"/>
    </row>
    <row r="492" spans="1:1" ht="15" thickBot="1" x14ac:dyDescent="0.4">
      <c r="A492"/>
    </row>
    <row r="493" spans="1:1" ht="15" thickBot="1" x14ac:dyDescent="0.4">
      <c r="A493"/>
    </row>
    <row r="494" spans="1:1" ht="15" thickBot="1" x14ac:dyDescent="0.4">
      <c r="A494"/>
    </row>
    <row r="495" spans="1:1" ht="15" thickBot="1" x14ac:dyDescent="0.4">
      <c r="A495"/>
    </row>
    <row r="496" spans="1:1" ht="15" thickBot="1" x14ac:dyDescent="0.4">
      <c r="A496"/>
    </row>
    <row r="497" spans="1:1" ht="15" thickBot="1" x14ac:dyDescent="0.4">
      <c r="A497"/>
    </row>
    <row r="498" spans="1:1" ht="15" thickBot="1" x14ac:dyDescent="0.4">
      <c r="A498"/>
    </row>
    <row r="499" spans="1:1" ht="15" thickBot="1" x14ac:dyDescent="0.4">
      <c r="A499"/>
    </row>
    <row r="500" spans="1:1" ht="15" thickBot="1" x14ac:dyDescent="0.4">
      <c r="A500"/>
    </row>
    <row r="501" spans="1:1" ht="15" thickBot="1" x14ac:dyDescent="0.4">
      <c r="A501"/>
    </row>
    <row r="502" spans="1:1" ht="15" thickBot="1" x14ac:dyDescent="0.4">
      <c r="A502"/>
    </row>
    <row r="503" spans="1:1" ht="15" thickBot="1" x14ac:dyDescent="0.4">
      <c r="A503"/>
    </row>
    <row r="504" spans="1:1" ht="15" thickBot="1" x14ac:dyDescent="0.4">
      <c r="A504"/>
    </row>
    <row r="505" spans="1:1" ht="15" thickBot="1" x14ac:dyDescent="0.4">
      <c r="A505"/>
    </row>
    <row r="506" spans="1:1" ht="15" thickBot="1" x14ac:dyDescent="0.4">
      <c r="A506"/>
    </row>
    <row r="507" spans="1:1" ht="15" thickBot="1" x14ac:dyDescent="0.4">
      <c r="A507"/>
    </row>
    <row r="508" spans="1:1" ht="15" thickBot="1" x14ac:dyDescent="0.4">
      <c r="A508"/>
    </row>
    <row r="509" spans="1:1" ht="15" thickBot="1" x14ac:dyDescent="0.4">
      <c r="A509"/>
    </row>
    <row r="510" spans="1:1" ht="15" thickBot="1" x14ac:dyDescent="0.4">
      <c r="A510"/>
    </row>
    <row r="511" spans="1:1" ht="15" thickBot="1" x14ac:dyDescent="0.4">
      <c r="A511"/>
    </row>
    <row r="512" spans="1:1" ht="15" thickBot="1" x14ac:dyDescent="0.4">
      <c r="A512"/>
    </row>
    <row r="513" spans="1:1" ht="15" thickBot="1" x14ac:dyDescent="0.4">
      <c r="A513"/>
    </row>
    <row r="514" spans="1:1" ht="15" thickBot="1" x14ac:dyDescent="0.4">
      <c r="A514"/>
    </row>
    <row r="515" spans="1:1" ht="15" thickBot="1" x14ac:dyDescent="0.4">
      <c r="A515"/>
    </row>
    <row r="516" spans="1:1" ht="15" thickBot="1" x14ac:dyDescent="0.4">
      <c r="A516"/>
    </row>
    <row r="517" spans="1:1" ht="15" thickBot="1" x14ac:dyDescent="0.4">
      <c r="A517"/>
    </row>
    <row r="518" spans="1:1" ht="15" thickBot="1" x14ac:dyDescent="0.4">
      <c r="A518"/>
    </row>
    <row r="519" spans="1:1" ht="15" thickBot="1" x14ac:dyDescent="0.4">
      <c r="A519"/>
    </row>
    <row r="520" spans="1:1" ht="15" thickBot="1" x14ac:dyDescent="0.4">
      <c r="A520"/>
    </row>
    <row r="521" spans="1:1" ht="15" thickBot="1" x14ac:dyDescent="0.4">
      <c r="A521"/>
    </row>
    <row r="522" spans="1:1" ht="15" thickBot="1" x14ac:dyDescent="0.4">
      <c r="A522"/>
    </row>
    <row r="523" spans="1:1" ht="15" thickBot="1" x14ac:dyDescent="0.4">
      <c r="A523"/>
    </row>
    <row r="524" spans="1:1" ht="15" thickBot="1" x14ac:dyDescent="0.4">
      <c r="A524"/>
    </row>
    <row r="525" spans="1:1" ht="15" thickBot="1" x14ac:dyDescent="0.4">
      <c r="A525"/>
    </row>
    <row r="526" spans="1:1" ht="15" thickBot="1" x14ac:dyDescent="0.4">
      <c r="A526"/>
    </row>
    <row r="527" spans="1:1" ht="15" thickBot="1" x14ac:dyDescent="0.4">
      <c r="A527"/>
    </row>
    <row r="528" spans="1:1" ht="15" thickBot="1" x14ac:dyDescent="0.4">
      <c r="A528"/>
    </row>
    <row r="529" spans="1:1" ht="15" thickBot="1" x14ac:dyDescent="0.4">
      <c r="A529"/>
    </row>
    <row r="530" spans="1:1" ht="15" thickBot="1" x14ac:dyDescent="0.4">
      <c r="A530"/>
    </row>
    <row r="531" spans="1:1" ht="15" thickBot="1" x14ac:dyDescent="0.4">
      <c r="A531"/>
    </row>
    <row r="532" spans="1:1" ht="15" thickBot="1" x14ac:dyDescent="0.4">
      <c r="A532"/>
    </row>
    <row r="533" spans="1:1" ht="15" thickBot="1" x14ac:dyDescent="0.4">
      <c r="A533"/>
    </row>
    <row r="534" spans="1:1" ht="15" thickBot="1" x14ac:dyDescent="0.4">
      <c r="A534"/>
    </row>
    <row r="535" spans="1:1" ht="15" thickBot="1" x14ac:dyDescent="0.4">
      <c r="A535"/>
    </row>
    <row r="536" spans="1:1" ht="15" thickBot="1" x14ac:dyDescent="0.4">
      <c r="A536"/>
    </row>
    <row r="537" spans="1:1" ht="15" thickBot="1" x14ac:dyDescent="0.4">
      <c r="A537"/>
    </row>
    <row r="538" spans="1:1" ht="15" thickBot="1" x14ac:dyDescent="0.4">
      <c r="A538"/>
    </row>
    <row r="539" spans="1:1" ht="15" thickBot="1" x14ac:dyDescent="0.4">
      <c r="A539"/>
    </row>
    <row r="540" spans="1:1" ht="15" thickBot="1" x14ac:dyDescent="0.4">
      <c r="A540"/>
    </row>
    <row r="541" spans="1:1" ht="15" thickBot="1" x14ac:dyDescent="0.4">
      <c r="A541"/>
    </row>
    <row r="542" spans="1:1" ht="15" thickBot="1" x14ac:dyDescent="0.4">
      <c r="A542"/>
    </row>
    <row r="543" spans="1:1" ht="15" thickBot="1" x14ac:dyDescent="0.4">
      <c r="A543"/>
    </row>
    <row r="544" spans="1:1" ht="15" thickBot="1" x14ac:dyDescent="0.4">
      <c r="A544"/>
    </row>
    <row r="545" spans="1:1" ht="15" thickBot="1" x14ac:dyDescent="0.4">
      <c r="A545"/>
    </row>
    <row r="546" spans="1:1" ht="15" thickBot="1" x14ac:dyDescent="0.4">
      <c r="A546"/>
    </row>
    <row r="547" spans="1:1" ht="15" thickBot="1" x14ac:dyDescent="0.4">
      <c r="A547"/>
    </row>
    <row r="548" spans="1:1" ht="15" thickBot="1" x14ac:dyDescent="0.4">
      <c r="A548"/>
    </row>
    <row r="549" spans="1:1" ht="15" thickBot="1" x14ac:dyDescent="0.4">
      <c r="A549"/>
    </row>
    <row r="550" spans="1:1" ht="15" thickBot="1" x14ac:dyDescent="0.4">
      <c r="A550"/>
    </row>
    <row r="551" spans="1:1" ht="15" thickBot="1" x14ac:dyDescent="0.4">
      <c r="A551"/>
    </row>
    <row r="552" spans="1:1" ht="15" thickBot="1" x14ac:dyDescent="0.4">
      <c r="A552"/>
    </row>
    <row r="553" spans="1:1" ht="15" thickBot="1" x14ac:dyDescent="0.4">
      <c r="A553"/>
    </row>
    <row r="554" spans="1:1" ht="15" thickBot="1" x14ac:dyDescent="0.4">
      <c r="A554"/>
    </row>
    <row r="555" spans="1:1" ht="15" thickBot="1" x14ac:dyDescent="0.4">
      <c r="A555"/>
    </row>
    <row r="556" spans="1:1" ht="15" thickBot="1" x14ac:dyDescent="0.4">
      <c r="A556"/>
    </row>
    <row r="557" spans="1:1" ht="15" thickBot="1" x14ac:dyDescent="0.4">
      <c r="A557"/>
    </row>
    <row r="558" spans="1:1" ht="15" thickBot="1" x14ac:dyDescent="0.4">
      <c r="A558"/>
    </row>
    <row r="559" spans="1:1" ht="15" thickBot="1" x14ac:dyDescent="0.4">
      <c r="A559"/>
    </row>
    <row r="560" spans="1:1" ht="15" thickBot="1" x14ac:dyDescent="0.4">
      <c r="A560"/>
    </row>
    <row r="561" spans="1:1" ht="15" thickBot="1" x14ac:dyDescent="0.4">
      <c r="A561"/>
    </row>
    <row r="562" spans="1:1" ht="15" thickBot="1" x14ac:dyDescent="0.4">
      <c r="A562"/>
    </row>
    <row r="563" spans="1:1" ht="15" thickBot="1" x14ac:dyDescent="0.4">
      <c r="A563"/>
    </row>
    <row r="564" spans="1:1" ht="15" thickBot="1" x14ac:dyDescent="0.4">
      <c r="A564"/>
    </row>
    <row r="565" spans="1:1" ht="15" thickBot="1" x14ac:dyDescent="0.4">
      <c r="A565"/>
    </row>
  </sheetData>
  <sheetProtection sort="0" autoFilter="0" pivotTables="0"/>
  <mergeCells count="1">
    <mergeCell ref="A1:C1"/>
  </mergeCells>
  <pageMargins left="1" right="1" top="1" bottom="1" header="0.5" footer="0.5"/>
  <pageSetup paperSize="9" orientation="portrait" r:id="rId2"/>
  <drawing r:id="rId3"/>
  <extLst>
    <ext xmlns:x14="http://schemas.microsoft.com/office/spreadsheetml/2009/9/main" uri="{A8765BA9-456A-4dab-B4F3-ACF838C121DE}">
      <x14:slicerList>
        <x14:slicer r:id="rId4"/>
      </x14:slicerList>
    </ext>
    <ext xmlns:x15="http://schemas.microsoft.com/office/spreadsheetml/2010/11/main" uri="{7E03D99C-DC04-49d9-9315-930204A7B6E9}">
      <x15:timelineRefs>
        <x15:timelineRef r:id="rId5"/>
      </x15:timelineRefs>
    </ext>
  </extLs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tabColor theme="6" tint="-0.249977111117893"/>
  </sheetPr>
  <dimension ref="A2:D21"/>
  <sheetViews>
    <sheetView showGridLines="0" topLeftCell="V1" zoomScaleNormal="85" workbookViewId="0">
      <selection activeCell="AI33" sqref="AI33"/>
    </sheetView>
  </sheetViews>
  <sheetFormatPr defaultRowHeight="14.5" x14ac:dyDescent="0.35"/>
  <cols>
    <col min="1" max="1" width="12.54296875" bestFit="1" customWidth="1"/>
    <col min="2" max="2" width="18" bestFit="1" customWidth="1"/>
    <col min="3" max="3" width="19" bestFit="1" customWidth="1"/>
    <col min="4" max="4" width="20.1796875" bestFit="1" customWidth="1"/>
  </cols>
  <sheetData>
    <row r="2" spans="1:4" x14ac:dyDescent="0.35">
      <c r="A2" s="160" t="s">
        <v>36</v>
      </c>
      <c r="B2" s="160"/>
      <c r="C2" s="160"/>
      <c r="D2" s="160"/>
    </row>
    <row r="3" spans="1:4" x14ac:dyDescent="0.35">
      <c r="A3" s="7" t="s">
        <v>30</v>
      </c>
      <c r="B3" s="7" t="s">
        <v>31</v>
      </c>
      <c r="C3" s="7" t="s">
        <v>43</v>
      </c>
      <c r="D3" s="7" t="s">
        <v>32</v>
      </c>
    </row>
    <row r="4" spans="1:4" x14ac:dyDescent="0.35">
      <c r="A4" s="8" t="s">
        <v>147</v>
      </c>
      <c r="B4" s="7">
        <f>SUMIFS(INOUTQTY,UnitsTable[Date],"&gt;="&amp;DATE(2024,1,1),UnitsTable[Date],"&lt;="&amp;DATE(2024,1,31),UnitsTable[Type],"=Issue")</f>
        <v>0</v>
      </c>
      <c r="C4" s="7">
        <f>SUMIFS(INOUTQTY,UnitsTable[Date],"&gt;="&amp;DATE(2024,1,1),UnitsTable[Date],"&lt;="&amp;DATE(2024,4,31),UnitsTable[Type],"=Loaned")</f>
        <v>0</v>
      </c>
      <c r="D4" s="7">
        <f>SUMIFS(INOUTQTY,UnitsTable[Date],"&gt;="&amp;DATE(2024,1,1),UnitsTable[Date],"&lt;="&amp;DATE(2024,1,31),UnitsTable[Type],"=Receipt")</f>
        <v>0</v>
      </c>
    </row>
    <row r="5" spans="1:4" x14ac:dyDescent="0.35">
      <c r="A5" s="8" t="s">
        <v>148</v>
      </c>
      <c r="B5" s="7">
        <f>SUMIFS(INOUTQTY,UnitsTable[Date],"&gt;="&amp;DATE(2024,2,1),UnitsTable[Date],"&lt;="&amp;DATE(2024,2,29),UnitsTable[Type],"=Issue")</f>
        <v>0</v>
      </c>
      <c r="C5" s="7">
        <f>SUMIFS(INOUTQTY,UnitsTable[Date],"&gt;="&amp;DATE(2024,2,1),UnitsTable[Date],"&lt;="&amp;DATE(2024,2,29),UnitsTable[Type],"=Loaned")</f>
        <v>0</v>
      </c>
      <c r="D5" s="7">
        <f>SUMIFS(INOUTQTY,UnitsTable[Date],"&gt;="&amp;DATE(2024,2,1),UnitsTable[Date],"&lt;="&amp;DATE(2024,2,29),UnitsTable[Type],"=Receipt")</f>
        <v>0</v>
      </c>
    </row>
    <row r="6" spans="1:4" x14ac:dyDescent="0.35">
      <c r="A6" s="8" t="s">
        <v>149</v>
      </c>
      <c r="B6" s="7">
        <f>SUMIFS(INOUTQTY,UnitsTable[Date],"&gt;="&amp;DATE(2024,3,1),UnitsTable[Date],"&lt;="&amp;DATE(2024,3,31),UnitsTable[Type],"=Issue")</f>
        <v>0</v>
      </c>
      <c r="C6" s="7">
        <f>SUMIFS(INOUTQTY,UnitsTable[Date],"&gt;="&amp;DATE(2024,3,1),UnitsTable[Date],"&lt;="&amp;DATE(2024,3,31),UnitsTable[Type],"=Loaned")</f>
        <v>0</v>
      </c>
      <c r="D6" s="7">
        <f>SUMIFS(INOUTQTY,UnitsTable[Date],"&gt;="&amp;DATE(2024,3,1),UnitsTable[Date],"&lt;="&amp;DATE(2024,3,31),UnitsTable[Type],"=Receipt")</f>
        <v>0</v>
      </c>
    </row>
    <row r="7" spans="1:4" x14ac:dyDescent="0.35">
      <c r="A7" s="8" t="s">
        <v>33</v>
      </c>
      <c r="B7" s="7">
        <f>SUMIFS(INOUTQTY,UnitsTable[Date],"&gt;="&amp;DATE(2024,4,1),UnitsTable[Date],"&lt;="&amp;DATE(2024,4,30),UnitsTable[Type],"=Issue")</f>
        <v>0</v>
      </c>
      <c r="C7" s="7">
        <f>SUMIFS(INOUTQTY,UnitsTable[Date],"&gt;="&amp;DATE(2024,4,1),UnitsTable[Date],"&lt;="&amp;DATE(2024,4,30),UnitsTable[Type],"=Loaned")</f>
        <v>0</v>
      </c>
      <c r="D7" s="7">
        <f>SUMIFS(INOUTQTY,UnitsTable[Date],"&gt;="&amp;DATE(2024,4,1),UnitsTable[Date],"&lt;="&amp;DATE(2024,4,30),UnitsTable[Type],"=Receipt")</f>
        <v>0</v>
      </c>
    </row>
    <row r="8" spans="1:4" x14ac:dyDescent="0.35">
      <c r="A8" s="8" t="s">
        <v>34</v>
      </c>
      <c r="B8" s="7">
        <f>SUMIFS(INOUTQTY,UnitsTable[Date],"&gt;="&amp;DATE(2024,5,1),UnitsTable[Date],"&lt;="&amp;DATE(2024,5,31),UnitsTable[Type],"=Issue")</f>
        <v>0</v>
      </c>
      <c r="C8" s="7">
        <f>SUMIFS(INOUTQTY,UnitsTable[Date],"&gt;="&amp;DATE(2024,5,1),UnitsTable[Date],"&lt;="&amp;DATE(2024,5,31),UnitsTable[Type],"=Loaned")</f>
        <v>0</v>
      </c>
      <c r="D8" s="7">
        <f>SUMIFS(INOUTQTY,UnitsTable[Date],"&gt;="&amp;DATE(2024,5,1),UnitsTable[Date],"&lt;="&amp;DATE(2024,5,31),UnitsTable[Type],"=Receipt")</f>
        <v>0</v>
      </c>
    </row>
    <row r="9" spans="1:4" x14ac:dyDescent="0.35">
      <c r="A9" s="8" t="s">
        <v>35</v>
      </c>
      <c r="B9" s="7">
        <f>SUMIFS(INOUTQTY,UnitsTable[Date],"&gt;="&amp;DATE(2024,6,1),UnitsTable[Date],"&lt;="&amp;DATE(2024,6,30),UnitsTable[Type],"=Issue")</f>
        <v>0</v>
      </c>
      <c r="C9" s="7">
        <f>SUMIFS(INOUTQTY,UnitsTable[Date],"&gt;="&amp;DATE(2024,6,1),UnitsTable[Date],"&lt;="&amp;DATE(2024,6,30),UnitsTable[Type],"=Loaned")</f>
        <v>0</v>
      </c>
      <c r="D9" s="7">
        <f>SUMIFS(INOUTQTY,UnitsTable[Date],"&gt;="&amp;DATE(2024,6,1),UnitsTable[Date],"&lt;="&amp;DATE(2024,6,30),UnitsTable[Type],"=Receipt")</f>
        <v>0</v>
      </c>
    </row>
    <row r="10" spans="1:4" x14ac:dyDescent="0.35">
      <c r="A10" s="8" t="s">
        <v>37</v>
      </c>
      <c r="B10" s="7">
        <f>SUMIFS(INOUTQTY,UnitsTable[Date],"&gt;="&amp;DATE(2024,7,1),UnitsTable[Date],"&lt;="&amp;DATE(2024,7,31),UnitsTable[Type],"=Issue")</f>
        <v>0</v>
      </c>
      <c r="C10" s="7">
        <f>SUMIFS(INOUTQTY,UnitsTable[Date],"&gt;="&amp;DATE(2024,7,1),UnitsTable[Date],"&lt;="&amp;DATE(2024,7,31),UnitsTable[Type],"=Loaned")</f>
        <v>0</v>
      </c>
      <c r="D10" s="7">
        <f>SUMIFS(INOUTQTY,UnitsTable[Date],"&gt;="&amp;DATE(2024,7,1),UnitsTable[Date],"&lt;="&amp;DATE(2024,7,31),UnitsTable[Type],"=Receipt")</f>
        <v>0</v>
      </c>
    </row>
    <row r="11" spans="1:4" x14ac:dyDescent="0.35">
      <c r="A11" s="8" t="s">
        <v>38</v>
      </c>
      <c r="B11" s="7">
        <f>SUMIFS(INOUTQTY,UnitsTable[Date],"&gt;="&amp;DATE(2024,8,1),UnitsTable[Date],"&lt;="&amp;DATE(2024,8,31),UnitsTable[Type],"=Issue")</f>
        <v>0</v>
      </c>
      <c r="C11" s="7">
        <f>SUMIFS(INOUTQTY,UnitsTable[Date],"&gt;="&amp;DATE(2024,8,1),UnitsTable[Date],"&lt;="&amp;DATE(2024,8,31),UnitsTable[Type],"=Loaned")</f>
        <v>0</v>
      </c>
      <c r="D11" s="7">
        <f>SUMIFS(INOUTQTY,UnitsTable[Date],"&gt;="&amp;DATE(2024,8,1),UnitsTable[Date],"&lt;="&amp;DATE(2024,8,30),UnitsTable[Type],"=Receipt")</f>
        <v>0</v>
      </c>
    </row>
    <row r="12" spans="1:4" x14ac:dyDescent="0.35">
      <c r="A12" s="8" t="s">
        <v>39</v>
      </c>
      <c r="B12" s="7">
        <f>SUMIFS(INOUTQTY,UnitsTable[Date],"&gt;="&amp;DATE(2024,9,1),UnitsTable[Date],"&lt;="&amp;DATE(2024,9,30),UnitsTable[Type],"=Issue")</f>
        <v>0</v>
      </c>
      <c r="C12" s="7">
        <f>SUMIFS(INOUTQTY,UnitsTable[Date],"&gt;="&amp;DATE(2024,9,1),UnitsTable[Date],"&lt;="&amp;DATE(2024,9,30),UnitsTable[Type],"=Loaned")</f>
        <v>0</v>
      </c>
      <c r="D12" s="7">
        <f>SUMIFS(INOUTQTY,UnitsTable[Date],"&gt;="&amp;DATE(2024,9,1),UnitsTable[Date],"&lt;="&amp;DATE(2024,6,30),UnitsTable[Type],"=Receipt")</f>
        <v>0</v>
      </c>
    </row>
    <row r="13" spans="1:4" x14ac:dyDescent="0.35">
      <c r="A13" s="8" t="s">
        <v>40</v>
      </c>
      <c r="B13" s="7">
        <f>SUMIFS(INOUTQTY,UnitsTable[Date],"&gt;="&amp;DATE(2024,10,1),UnitsTable[Date],"&lt;="&amp;DATE(2024,10,31),UnitsTable[Type],"=Issue")</f>
        <v>0</v>
      </c>
      <c r="C13" s="7">
        <f>SUMIFS(INOUTQTY,UnitsTable[Date],"&gt;="&amp;DATE(2024,10,1),UnitsTable[Date],"&lt;="&amp;DATE(2024,10,31),UnitsTable[Type],"=Loaned")</f>
        <v>0</v>
      </c>
      <c r="D13" s="7">
        <f>SUMIFS(INOUTQTY,UnitsTable[Date],"&gt;="&amp;DATE(2024,10,1),UnitsTable[Date],"&lt;="&amp;DATE(2024,10,31),UnitsTable[Type],"=Receipt")</f>
        <v>0</v>
      </c>
    </row>
    <row r="14" spans="1:4" x14ac:dyDescent="0.35">
      <c r="A14" s="8" t="s">
        <v>41</v>
      </c>
      <c r="B14" s="7">
        <f>SUMIFS(INOUTQTY,UnitsTable[Date],"&gt;="&amp;DATE(2024,11,1),UnitsTable[Date],"&lt;="&amp;DATE(2024,11,30),UnitsTable[Type],"=Issue")</f>
        <v>0</v>
      </c>
      <c r="C14" s="7">
        <f>SUMIFS(INOUTQTY,UnitsTable[Date],"&gt;="&amp;DATE(2024,11,1),UnitsTable[Date],"&lt;="&amp;DATE(2024,11,30),UnitsTable[Type],"=Loaned")</f>
        <v>0</v>
      </c>
      <c r="D14" s="7">
        <f>SUMIFS(INOUTQTY,UnitsTable[Date],"&gt;="&amp;DATE(2024,11,1),UnitsTable[Date],"&lt;="&amp;DATE(2024,11,30),UnitsTable[Type],"=Receipt")</f>
        <v>0</v>
      </c>
    </row>
    <row r="15" spans="1:4" x14ac:dyDescent="0.35">
      <c r="A15" s="8" t="s">
        <v>42</v>
      </c>
      <c r="B15" s="7">
        <f>SUMIFS(INOUTQTY,UnitsTable[Date],"&gt;="&amp;DATE(2024,12,1),UnitsTable[Date],"&lt;="&amp;DATE(2024,12,31),UnitsTable[Type],"=Issue")</f>
        <v>0</v>
      </c>
      <c r="C15" s="7">
        <f>SUMIFS(INOUTQTY,UnitsTable[Date],"&gt;="&amp;DATE(2024,12,1),UnitsTable[Date],"&lt;="&amp;DATE(2024,12,31),UnitsTable[Type],"=Loaned")</f>
        <v>0</v>
      </c>
      <c r="D15" s="7">
        <f>SUMIFS(INOUTQTY,UnitsTable[Date],"&gt;="&amp;DATE(2024,12,1),UnitsTable[Date],"&lt;="&amp;DATE(2024,12,31),UnitsTable[Type],"=Receipt")</f>
        <v>0</v>
      </c>
    </row>
    <row r="21" spans="4:4" x14ac:dyDescent="0.35">
      <c r="D21" t="s">
        <v>44</v>
      </c>
    </row>
  </sheetData>
  <sheetProtection autoFilter="0" pivotTables="0"/>
  <mergeCells count="1">
    <mergeCell ref="A2:D2"/>
  </mergeCells>
  <phoneticPr fontId="8" type="noConversion"/>
  <pageMargins left="0.7" right="0.7" top="0.75" bottom="0.75" header="0.3" footer="0.3"/>
  <pageSetup paperSize="9" orientation="portrait" r:id="rId1"/>
  <drawing r:id="rId2"/>
  <tableParts count="1">
    <tablePart r:id="rId3"/>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44</vt:i4>
      </vt:variant>
    </vt:vector>
  </HeadingPairs>
  <TitlesOfParts>
    <vt:vector size="58" baseType="lpstr">
      <vt:lpstr>STOCK CONTROL SHEET</vt:lpstr>
      <vt:lpstr>INVENTORY STATUS</vt:lpstr>
      <vt:lpstr>STORE PERFORMANCE</vt:lpstr>
      <vt:lpstr>SF STORE</vt:lpstr>
      <vt:lpstr>SF REPORT</vt:lpstr>
      <vt:lpstr>COMPUTER STORE</vt:lpstr>
      <vt:lpstr>COMPUTER REPORT</vt:lpstr>
      <vt:lpstr>MAINTENANCE</vt:lpstr>
      <vt:lpstr>MAINTENANCE REPORT</vt:lpstr>
      <vt:lpstr>AVERAGE CONSUMPTION</vt:lpstr>
      <vt:lpstr>MAX CONSUMPTION</vt:lpstr>
      <vt:lpstr>MIN CONSUMPTION</vt:lpstr>
      <vt:lpstr>INVENTORY ANALYSIS</vt:lpstr>
      <vt:lpstr>DASHBOARD</vt:lpstr>
      <vt:lpstr>'STOCK CONTROL SHEET'!Bin_Card_Bal.</vt:lpstr>
      <vt:lpstr>COMP.STOREPhysicalBal.</vt:lpstr>
      <vt:lpstr>COMP.STOREPRIMARY</vt:lpstr>
      <vt:lpstr>COMP.STOREReorderLevels</vt:lpstr>
      <vt:lpstr>COMPMaterialNo</vt:lpstr>
      <vt:lpstr>'STOCK CONTROL SHEET'!Details</vt:lpstr>
      <vt:lpstr>Details</vt:lpstr>
      <vt:lpstr>'COMPUTER STORE'!INOUTCODE</vt:lpstr>
      <vt:lpstr>MAINTENANCE!INOUTCODE</vt:lpstr>
      <vt:lpstr>INOUTCODE</vt:lpstr>
      <vt:lpstr>'COMPUTER STORE'!INOUTQTY</vt:lpstr>
      <vt:lpstr>MAINTENANCE!INOUTQTY</vt:lpstr>
      <vt:lpstr>INOUTQTY</vt:lpstr>
      <vt:lpstr>'STOCK CONTROL SHEET'!ItemDescription</vt:lpstr>
      <vt:lpstr>MAINT.STOREPhysicalStockBal.</vt:lpstr>
      <vt:lpstr>MAINT.STOREPRIMARY</vt:lpstr>
      <vt:lpstr>MAINT.STOREReorderLevels</vt:lpstr>
      <vt:lpstr>MAINTMaterialNo</vt:lpstr>
      <vt:lpstr>Opening_S5_Bin_Card_Bal.</vt:lpstr>
      <vt:lpstr>'STOCK CONTROL SHEET'!Physical_Stock_Bal.</vt:lpstr>
      <vt:lpstr>'STOCK CONTROL SHEET'!Qty._Deficit</vt:lpstr>
      <vt:lpstr>'STOCK CONTROL SHEET'!Qty._Surplus</vt:lpstr>
      <vt:lpstr>'STOCK CONTROL SHEET'!Reorder_Levels</vt:lpstr>
      <vt:lpstr>'STOCK CONTROL SHEET'!ROLL</vt:lpstr>
      <vt:lpstr>'COMPUTER STORE'!Running_Balance</vt:lpstr>
      <vt:lpstr>MAINTENANCE!Running_Balance</vt:lpstr>
      <vt:lpstr>'SF STORE'!Running_Balance</vt:lpstr>
      <vt:lpstr>SF.STORE.TABLE</vt:lpstr>
      <vt:lpstr>SFMaterialNo</vt:lpstr>
      <vt:lpstr>'COMPUTER STORE'!TransactionType</vt:lpstr>
      <vt:lpstr>MAINTENANCE!TransactionType</vt:lpstr>
      <vt:lpstr>'SF STORE'!TransactionType</vt:lpstr>
      <vt:lpstr>'AVERAGE CONSUMPTION'!Type</vt:lpstr>
      <vt:lpstr>'COMPUTER STORE'!Type</vt:lpstr>
      <vt:lpstr>MAINTENANCE!Type</vt:lpstr>
      <vt:lpstr>'MAX CONSUMPTION'!Type</vt:lpstr>
      <vt:lpstr>'MIN CONSUMPTION'!Type</vt:lpstr>
      <vt:lpstr>Type</vt:lpstr>
      <vt:lpstr>'COMPUTER STORE'!Unit</vt:lpstr>
      <vt:lpstr>MAINTENANCE!Unit</vt:lpstr>
      <vt:lpstr>Unit</vt:lpstr>
      <vt:lpstr>'COMPUTER STORE'!UnitOfIssue</vt:lpstr>
      <vt:lpstr>MAINTENANCE!UnitOfIssue</vt:lpstr>
      <vt:lpstr>'SF STORE'!UnitOfIssue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NSSF</dc:creator>
  <cp:lastModifiedBy>Roy</cp:lastModifiedBy>
  <cp:lastPrinted>2025-08-29T21:47:47Z</cp:lastPrinted>
  <dcterms:created xsi:type="dcterms:W3CDTF">2024-04-15T09:30:29Z</dcterms:created>
  <dcterms:modified xsi:type="dcterms:W3CDTF">2025-09-29T20:08:01Z</dcterms:modified>
</cp:coreProperties>
</file>